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workbookProtection lockStructure="1"/>
  <bookViews>
    <workbookView xWindow="0" yWindow="0" windowWidth="20490" windowHeight="6195" tabRatio="747"/>
  </bookViews>
  <sheets>
    <sheet name="input" sheetId="2" r:id="rId1"/>
    <sheet name="retirement_incomes_projections" sheetId="8" r:id="rId2"/>
    <sheet name="nominal_balance" sheetId="3" r:id="rId3"/>
    <sheet name="real_balance" sheetId="4" r:id="rId4"/>
    <sheet name="depletion_model" sheetId="9" r:id="rId5"/>
    <sheet name="bank_balance_chart" sheetId="10" r:id="rId6"/>
  </sheets>
  <definedNames>
    <definedName name="actual_income_nominal">input!$C$13</definedName>
    <definedName name="actual_income_real">input!$F$15</definedName>
    <definedName name="current_age">input!$C$3</definedName>
    <definedName name="discount_rate">input!$C$12</definedName>
    <definedName name="eoy" comment="end of year">input!$C$7</definedName>
    <definedName name="inflation_rate">input!$C$11</definedName>
    <definedName name="nominal_fv">nominal_balance!$C$3:$C$102</definedName>
    <definedName name="nominal_pv">nominal_balance!$D$3:$D$102</definedName>
    <definedName name="profit_rate">input!$C$10</definedName>
    <definedName name="real_fv">real_balance!$C$3:$C$102</definedName>
    <definedName name="real_pv">real_balance!$D$3:$D$102</definedName>
    <definedName name="required_income_final">input!$F$12</definedName>
    <definedName name="required_income_input">input!$C$13</definedName>
    <definedName name="required_payment">input!$F$16</definedName>
    <definedName name="retirement_age">input!$C$4</definedName>
    <definedName name="solver_adj" localSheetId="0" hidden="1">input!$F$16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input!$F$3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input!$F$17</definedName>
    <definedName name="solver_pre" localSheetId="0" hidden="1">0.000001</definedName>
    <definedName name="solver_rbv" localSheetId="0" hidden="1">2</definedName>
    <definedName name="solver_rel1" localSheetId="0" hidden="1">3</definedName>
    <definedName name="solver_rhs1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  <definedName name="starting_year">input!$C$6</definedName>
    <definedName name="total_nominal_fv">input!$F$8</definedName>
    <definedName name="total_nominal_pv">input!$F$9</definedName>
    <definedName name="total_real_fv">input!$F$10</definedName>
    <definedName name="total_real_pv">input!$F$11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9" l="1"/>
  <c r="F7" i="2" l="1"/>
  <c r="C3" i="3" l="1"/>
  <c r="D3" i="3" s="1"/>
  <c r="B3" i="3" l="1"/>
  <c r="F6" i="2"/>
  <c r="F3" i="2"/>
  <c r="A4" i="9" l="1"/>
  <c r="C3" i="9"/>
  <c r="F3" i="9"/>
  <c r="A5" i="9"/>
  <c r="B5" i="9" s="1"/>
  <c r="A6" i="9"/>
  <c r="B6" i="9" s="1"/>
  <c r="A3" i="8"/>
  <c r="C3" i="8" s="1"/>
  <c r="C4" i="9"/>
  <c r="F4" i="2"/>
  <c r="B3" i="8" s="1"/>
  <c r="F5" i="2"/>
  <c r="B3" i="4"/>
  <c r="A3" i="4"/>
  <c r="C3" i="4" s="1"/>
  <c r="D3" i="4" s="1"/>
  <c r="D3" i="9" l="1"/>
  <c r="B4" i="9"/>
  <c r="D4" i="9"/>
  <c r="E4" i="9" s="1"/>
  <c r="F4" i="9"/>
  <c r="F6" i="9"/>
  <c r="F5" i="9"/>
  <c r="A7" i="9"/>
  <c r="B7" i="9" s="1"/>
  <c r="C5" i="9"/>
  <c r="D5" i="9" s="1"/>
  <c r="A4" i="8"/>
  <c r="C4" i="8" s="1"/>
  <c r="B4" i="8"/>
  <c r="B5" i="8" s="1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A104" i="4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4" i="3"/>
  <c r="G4" i="9" l="1"/>
  <c r="E3" i="9"/>
  <c r="G3" i="9" s="1"/>
  <c r="B24" i="8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95" i="8" s="1"/>
  <c r="B96" i="8" s="1"/>
  <c r="B97" i="8" s="1"/>
  <c r="B98" i="8" s="1"/>
  <c r="B99" i="8" s="1"/>
  <c r="B100" i="8" s="1"/>
  <c r="B101" i="8" s="1"/>
  <c r="B102" i="8" s="1"/>
  <c r="B103" i="8" s="1"/>
  <c r="F7" i="9"/>
  <c r="A8" i="9"/>
  <c r="B8" i="9" s="1"/>
  <c r="C6" i="9"/>
  <c r="A5" i="8"/>
  <c r="C5" i="8" s="1"/>
  <c r="C4" i="3"/>
  <c r="D4" i="3" s="1"/>
  <c r="B4" i="4"/>
  <c r="A4" i="4"/>
  <c r="C4" i="4" s="1"/>
  <c r="D4" i="4" s="1"/>
  <c r="B4" i="3"/>
  <c r="A5" i="3"/>
  <c r="E5" i="9" l="1"/>
  <c r="G5" i="9" s="1"/>
  <c r="D6" i="9" s="1"/>
  <c r="F8" i="9"/>
  <c r="A9" i="9"/>
  <c r="B9" i="9" s="1"/>
  <c r="C7" i="9"/>
  <c r="A6" i="8"/>
  <c r="C6" i="8" s="1"/>
  <c r="C5" i="3"/>
  <c r="D5" i="3" s="1"/>
  <c r="B5" i="4"/>
  <c r="A5" i="4"/>
  <c r="C5" i="4" s="1"/>
  <c r="D5" i="4" s="1"/>
  <c r="B5" i="3"/>
  <c r="A6" i="3"/>
  <c r="F9" i="9" l="1"/>
  <c r="E6" i="9"/>
  <c r="G6" i="9" s="1"/>
  <c r="D7" i="9" s="1"/>
  <c r="A10" i="9"/>
  <c r="B10" i="9" s="1"/>
  <c r="C8" i="9"/>
  <c r="A7" i="8"/>
  <c r="C7" i="8" s="1"/>
  <c r="C6" i="3"/>
  <c r="D6" i="3" s="1"/>
  <c r="B6" i="4"/>
  <c r="A6" i="4"/>
  <c r="C6" i="4" s="1"/>
  <c r="D6" i="4" s="1"/>
  <c r="B6" i="3"/>
  <c r="A7" i="3"/>
  <c r="F10" i="9" l="1"/>
  <c r="E7" i="9"/>
  <c r="G7" i="9" s="1"/>
  <c r="D8" i="9" s="1"/>
  <c r="A11" i="9"/>
  <c r="B11" i="9" s="1"/>
  <c r="C9" i="9"/>
  <c r="A8" i="8"/>
  <c r="C8" i="8" s="1"/>
  <c r="C7" i="3"/>
  <c r="D7" i="3" s="1"/>
  <c r="B7" i="4"/>
  <c r="A7" i="4"/>
  <c r="C7" i="4" s="1"/>
  <c r="D7" i="4" s="1"/>
  <c r="B7" i="3"/>
  <c r="A8" i="3"/>
  <c r="F11" i="9" l="1"/>
  <c r="E8" i="9"/>
  <c r="G8" i="9" s="1"/>
  <c r="D9" i="9" s="1"/>
  <c r="A12" i="9"/>
  <c r="B12" i="9" s="1"/>
  <c r="C10" i="9"/>
  <c r="A9" i="8"/>
  <c r="C9" i="8" s="1"/>
  <c r="C8" i="3"/>
  <c r="D8" i="3" s="1"/>
  <c r="B8" i="4"/>
  <c r="A8" i="4"/>
  <c r="B8" i="3"/>
  <c r="A9" i="3"/>
  <c r="F12" i="9" l="1"/>
  <c r="E9" i="9"/>
  <c r="G9" i="9" s="1"/>
  <c r="D10" i="9" s="1"/>
  <c r="A13" i="9"/>
  <c r="B13" i="9" s="1"/>
  <c r="C11" i="9"/>
  <c r="C8" i="4"/>
  <c r="D8" i="4" s="1"/>
  <c r="A10" i="8"/>
  <c r="C10" i="8" s="1"/>
  <c r="C9" i="3"/>
  <c r="D9" i="3" s="1"/>
  <c r="B9" i="4"/>
  <c r="A9" i="4"/>
  <c r="B9" i="3"/>
  <c r="A10" i="3"/>
  <c r="F13" i="9" l="1"/>
  <c r="E10" i="9"/>
  <c r="G10" i="9" s="1"/>
  <c r="D11" i="9" s="1"/>
  <c r="A14" i="9"/>
  <c r="B14" i="9" s="1"/>
  <c r="C12" i="9"/>
  <c r="C9" i="4"/>
  <c r="D9" i="4" s="1"/>
  <c r="A11" i="8"/>
  <c r="C11" i="8" s="1"/>
  <c r="C10" i="3"/>
  <c r="D10" i="3" s="1"/>
  <c r="B10" i="4"/>
  <c r="A10" i="4"/>
  <c r="B10" i="3"/>
  <c r="A11" i="3"/>
  <c r="F14" i="9" l="1"/>
  <c r="E11" i="9"/>
  <c r="G11" i="9" s="1"/>
  <c r="D12" i="9" s="1"/>
  <c r="A15" i="9"/>
  <c r="B15" i="9" s="1"/>
  <c r="C13" i="9"/>
  <c r="C10" i="4"/>
  <c r="D10" i="4" s="1"/>
  <c r="A12" i="8"/>
  <c r="C12" i="8" s="1"/>
  <c r="C11" i="3"/>
  <c r="D11" i="3" s="1"/>
  <c r="B11" i="4"/>
  <c r="A11" i="4"/>
  <c r="B11" i="3"/>
  <c r="A12" i="3"/>
  <c r="F15" i="9" l="1"/>
  <c r="E12" i="9"/>
  <c r="G12" i="9" s="1"/>
  <c r="D13" i="9" s="1"/>
  <c r="A16" i="9"/>
  <c r="B16" i="9" s="1"/>
  <c r="C14" i="9"/>
  <c r="C11" i="4"/>
  <c r="D11" i="4" s="1"/>
  <c r="A13" i="8"/>
  <c r="C13" i="8" s="1"/>
  <c r="C12" i="3"/>
  <c r="D12" i="3" s="1"/>
  <c r="B12" i="4"/>
  <c r="A12" i="4"/>
  <c r="B12" i="3"/>
  <c r="A13" i="3"/>
  <c r="F16" i="9" l="1"/>
  <c r="E13" i="9"/>
  <c r="G13" i="9" s="1"/>
  <c r="D14" i="9" s="1"/>
  <c r="A17" i="9"/>
  <c r="B17" i="9" s="1"/>
  <c r="C15" i="9"/>
  <c r="C12" i="4"/>
  <c r="D12" i="4" s="1"/>
  <c r="A14" i="8"/>
  <c r="C14" i="8" s="1"/>
  <c r="C13" i="3"/>
  <c r="D13" i="3" s="1"/>
  <c r="B13" i="4"/>
  <c r="A13" i="4"/>
  <c r="B13" i="3"/>
  <c r="A14" i="3"/>
  <c r="F17" i="9" l="1"/>
  <c r="E14" i="9"/>
  <c r="G14" i="9" s="1"/>
  <c r="D15" i="9" s="1"/>
  <c r="A18" i="9"/>
  <c r="B18" i="9" s="1"/>
  <c r="C16" i="9"/>
  <c r="C13" i="4"/>
  <c r="D13" i="4" s="1"/>
  <c r="A15" i="8"/>
  <c r="C15" i="8" s="1"/>
  <c r="C14" i="3"/>
  <c r="D14" i="3" s="1"/>
  <c r="B14" i="4"/>
  <c r="A14" i="4"/>
  <c r="B14" i="3"/>
  <c r="A15" i="3"/>
  <c r="F18" i="9" l="1"/>
  <c r="E15" i="9"/>
  <c r="G15" i="9" s="1"/>
  <c r="D16" i="9" s="1"/>
  <c r="A19" i="9"/>
  <c r="B19" i="9" s="1"/>
  <c r="C17" i="9"/>
  <c r="C14" i="4"/>
  <c r="D14" i="4" s="1"/>
  <c r="A16" i="8"/>
  <c r="C16" i="8" s="1"/>
  <c r="C15" i="3"/>
  <c r="D15" i="3" s="1"/>
  <c r="B15" i="4"/>
  <c r="A15" i="4"/>
  <c r="B15" i="3"/>
  <c r="A16" i="3"/>
  <c r="F19" i="9" l="1"/>
  <c r="E16" i="9"/>
  <c r="G16" i="9" s="1"/>
  <c r="D17" i="9" s="1"/>
  <c r="A20" i="9"/>
  <c r="B20" i="9" s="1"/>
  <c r="C18" i="9"/>
  <c r="C15" i="4"/>
  <c r="D15" i="4" s="1"/>
  <c r="A17" i="8"/>
  <c r="C17" i="8" s="1"/>
  <c r="C16" i="3"/>
  <c r="D16" i="3" s="1"/>
  <c r="B16" i="4"/>
  <c r="A16" i="4"/>
  <c r="B16" i="3"/>
  <c r="A17" i="3"/>
  <c r="F20" i="9" l="1"/>
  <c r="E17" i="9"/>
  <c r="G17" i="9" s="1"/>
  <c r="D18" i="9" s="1"/>
  <c r="A21" i="9"/>
  <c r="B21" i="9" s="1"/>
  <c r="C19" i="9"/>
  <c r="C16" i="4"/>
  <c r="D16" i="4" s="1"/>
  <c r="A18" i="8"/>
  <c r="C18" i="8" s="1"/>
  <c r="C17" i="3"/>
  <c r="D17" i="3" s="1"/>
  <c r="B17" i="4"/>
  <c r="A17" i="4"/>
  <c r="B17" i="3"/>
  <c r="A18" i="3"/>
  <c r="F21" i="9" l="1"/>
  <c r="E18" i="9"/>
  <c r="G18" i="9" s="1"/>
  <c r="D19" i="9" s="1"/>
  <c r="A22" i="9"/>
  <c r="B22" i="9" s="1"/>
  <c r="C20" i="9"/>
  <c r="C17" i="4"/>
  <c r="D17" i="4" s="1"/>
  <c r="A19" i="8"/>
  <c r="C19" i="8" s="1"/>
  <c r="C18" i="3"/>
  <c r="D18" i="3" s="1"/>
  <c r="B18" i="4"/>
  <c r="A18" i="4"/>
  <c r="B18" i="3"/>
  <c r="A19" i="3"/>
  <c r="F22" i="9" l="1"/>
  <c r="E19" i="9"/>
  <c r="G19" i="9" s="1"/>
  <c r="D20" i="9" s="1"/>
  <c r="E20" i="9" s="1"/>
  <c r="G20" i="9" s="1"/>
  <c r="A23" i="9"/>
  <c r="B23" i="9" s="1"/>
  <c r="C21" i="9"/>
  <c r="C18" i="4"/>
  <c r="D18" i="4" s="1"/>
  <c r="A20" i="8"/>
  <c r="C20" i="8" s="1"/>
  <c r="C19" i="3"/>
  <c r="D19" i="3" s="1"/>
  <c r="B19" i="4"/>
  <c r="A19" i="4"/>
  <c r="B19" i="3"/>
  <c r="A20" i="3"/>
  <c r="D21" i="9" l="1"/>
  <c r="F23" i="9"/>
  <c r="E21" i="9"/>
  <c r="G21" i="9" s="1"/>
  <c r="A24" i="9"/>
  <c r="C22" i="9"/>
  <c r="D22" i="9" s="1"/>
  <c r="C19" i="4"/>
  <c r="D19" i="4" s="1"/>
  <c r="A21" i="8"/>
  <c r="C21" i="8" s="1"/>
  <c r="C20" i="3"/>
  <c r="D20" i="3" s="1"/>
  <c r="B20" i="4"/>
  <c r="A20" i="4"/>
  <c r="B20" i="3"/>
  <c r="A21" i="3"/>
  <c r="F24" i="9" l="1"/>
  <c r="B24" i="9"/>
  <c r="E22" i="9"/>
  <c r="G22" i="9" s="1"/>
  <c r="A25" i="9"/>
  <c r="C23" i="9"/>
  <c r="D23" i="9" s="1"/>
  <c r="C20" i="4"/>
  <c r="D20" i="4" s="1"/>
  <c r="A22" i="8"/>
  <c r="C22" i="8" s="1"/>
  <c r="C21" i="3"/>
  <c r="D21" i="3" s="1"/>
  <c r="B21" i="4"/>
  <c r="A21" i="4"/>
  <c r="B21" i="3"/>
  <c r="A22" i="3"/>
  <c r="F25" i="9" l="1"/>
  <c r="B25" i="9"/>
  <c r="E23" i="9"/>
  <c r="G23" i="9" s="1"/>
  <c r="A26" i="9"/>
  <c r="C24" i="9"/>
  <c r="C21" i="4"/>
  <c r="D21" i="4" s="1"/>
  <c r="A23" i="8"/>
  <c r="C22" i="3"/>
  <c r="D22" i="3" s="1"/>
  <c r="B22" i="4"/>
  <c r="A22" i="4"/>
  <c r="B22" i="3"/>
  <c r="A23" i="3"/>
  <c r="A24" i="8" l="1"/>
  <c r="C24" i="8" s="1"/>
  <c r="C23" i="8"/>
  <c r="F26" i="9"/>
  <c r="B26" i="9"/>
  <c r="D24" i="9"/>
  <c r="A27" i="9"/>
  <c r="C25" i="9"/>
  <c r="C22" i="4"/>
  <c r="D22" i="4" s="1"/>
  <c r="C23" i="3"/>
  <c r="D23" i="3" s="1"/>
  <c r="B23" i="4"/>
  <c r="A23" i="4"/>
  <c r="C23" i="4" s="1"/>
  <c r="B23" i="3"/>
  <c r="A24" i="3"/>
  <c r="F27" i="9" l="1"/>
  <c r="B27" i="9"/>
  <c r="E24" i="9"/>
  <c r="G24" i="9" s="1"/>
  <c r="D25" i="9" s="1"/>
  <c r="D24" i="8"/>
  <c r="A28" i="9"/>
  <c r="C26" i="9"/>
  <c r="A25" i="8"/>
  <c r="C25" i="8" s="1"/>
  <c r="D23" i="4"/>
  <c r="C24" i="3"/>
  <c r="D24" i="3" s="1"/>
  <c r="B24" i="4"/>
  <c r="A24" i="4"/>
  <c r="C24" i="4" s="1"/>
  <c r="B24" i="3"/>
  <c r="A25" i="3"/>
  <c r="F28" i="9" l="1"/>
  <c r="B28" i="9"/>
  <c r="E25" i="9"/>
  <c r="G25" i="9" s="1"/>
  <c r="D26" i="9" s="1"/>
  <c r="D25" i="8"/>
  <c r="A29" i="9"/>
  <c r="C27" i="9"/>
  <c r="A26" i="8"/>
  <c r="C26" i="8" s="1"/>
  <c r="D24" i="4"/>
  <c r="C25" i="3"/>
  <c r="D25" i="3" s="1"/>
  <c r="B25" i="4"/>
  <c r="A25" i="4"/>
  <c r="C25" i="4" s="1"/>
  <c r="B25" i="3"/>
  <c r="A26" i="3"/>
  <c r="F29" i="9" l="1"/>
  <c r="B29" i="9"/>
  <c r="E26" i="9"/>
  <c r="G26" i="9" s="1"/>
  <c r="D27" i="9" s="1"/>
  <c r="D26" i="8"/>
  <c r="A30" i="9"/>
  <c r="C28" i="9"/>
  <c r="D25" i="4"/>
  <c r="A27" i="8"/>
  <c r="C27" i="8" s="1"/>
  <c r="C26" i="3"/>
  <c r="D26" i="3" s="1"/>
  <c r="B26" i="4"/>
  <c r="A26" i="4"/>
  <c r="C26" i="4" s="1"/>
  <c r="B26" i="3"/>
  <c r="A27" i="3"/>
  <c r="F30" i="9" l="1"/>
  <c r="B30" i="9"/>
  <c r="E27" i="9"/>
  <c r="G27" i="9" s="1"/>
  <c r="D28" i="9" s="1"/>
  <c r="D27" i="8"/>
  <c r="A31" i="9"/>
  <c r="C29" i="9"/>
  <c r="D26" i="4"/>
  <c r="A28" i="8"/>
  <c r="C28" i="8" s="1"/>
  <c r="C27" i="3"/>
  <c r="D27" i="3" s="1"/>
  <c r="B27" i="4"/>
  <c r="A27" i="4"/>
  <c r="C27" i="4" s="1"/>
  <c r="B27" i="3"/>
  <c r="A28" i="3"/>
  <c r="F31" i="9" l="1"/>
  <c r="B31" i="9"/>
  <c r="E28" i="9"/>
  <c r="G28" i="9" s="1"/>
  <c r="D29" i="9" s="1"/>
  <c r="D28" i="8"/>
  <c r="A32" i="9"/>
  <c r="C30" i="9"/>
  <c r="D27" i="4"/>
  <c r="A29" i="8"/>
  <c r="C29" i="8" s="1"/>
  <c r="C28" i="3"/>
  <c r="D28" i="3" s="1"/>
  <c r="B28" i="4"/>
  <c r="A28" i="4"/>
  <c r="C28" i="4" s="1"/>
  <c r="B28" i="3"/>
  <c r="A29" i="3"/>
  <c r="F32" i="9" l="1"/>
  <c r="B32" i="9"/>
  <c r="E29" i="9"/>
  <c r="G29" i="9" s="1"/>
  <c r="D30" i="9" s="1"/>
  <c r="D29" i="8"/>
  <c r="A33" i="9"/>
  <c r="C31" i="9"/>
  <c r="D28" i="4"/>
  <c r="A30" i="8"/>
  <c r="C30" i="8" s="1"/>
  <c r="C29" i="3"/>
  <c r="D29" i="3" s="1"/>
  <c r="B29" i="4"/>
  <c r="A29" i="4"/>
  <c r="C29" i="4" s="1"/>
  <c r="B29" i="3"/>
  <c r="A30" i="3"/>
  <c r="F33" i="9" l="1"/>
  <c r="B33" i="9"/>
  <c r="E30" i="9"/>
  <c r="G30" i="9" s="1"/>
  <c r="D31" i="9" s="1"/>
  <c r="D30" i="8"/>
  <c r="A34" i="9"/>
  <c r="D29" i="4"/>
  <c r="C32" i="9"/>
  <c r="A31" i="8"/>
  <c r="C31" i="8" s="1"/>
  <c r="C30" i="3"/>
  <c r="D30" i="3" s="1"/>
  <c r="B30" i="4"/>
  <c r="A30" i="4"/>
  <c r="C30" i="4" s="1"/>
  <c r="B30" i="3"/>
  <c r="A31" i="3"/>
  <c r="F34" i="9" l="1"/>
  <c r="B34" i="9"/>
  <c r="E31" i="9"/>
  <c r="G31" i="9" s="1"/>
  <c r="D32" i="9" s="1"/>
  <c r="D31" i="8"/>
  <c r="A35" i="9"/>
  <c r="D30" i="4"/>
  <c r="C33" i="9"/>
  <c r="A32" i="8"/>
  <c r="C32" i="8" s="1"/>
  <c r="C31" i="3"/>
  <c r="D31" i="3" s="1"/>
  <c r="B31" i="4"/>
  <c r="A31" i="4"/>
  <c r="C31" i="4" s="1"/>
  <c r="B31" i="3"/>
  <c r="A32" i="3"/>
  <c r="F35" i="9" l="1"/>
  <c r="B35" i="9"/>
  <c r="E32" i="9"/>
  <c r="G32" i="9" s="1"/>
  <c r="D33" i="9" s="1"/>
  <c r="D32" i="8"/>
  <c r="A36" i="9"/>
  <c r="D31" i="4"/>
  <c r="C34" i="9"/>
  <c r="A33" i="8"/>
  <c r="C33" i="8" s="1"/>
  <c r="C32" i="3"/>
  <c r="D32" i="3" s="1"/>
  <c r="B32" i="4"/>
  <c r="A32" i="4"/>
  <c r="C32" i="4" s="1"/>
  <c r="B32" i="3"/>
  <c r="A33" i="3"/>
  <c r="F36" i="9" l="1"/>
  <c r="B36" i="9"/>
  <c r="E33" i="9"/>
  <c r="G33" i="9" s="1"/>
  <c r="D34" i="9" s="1"/>
  <c r="D33" i="8"/>
  <c r="A37" i="9"/>
  <c r="D32" i="4"/>
  <c r="C35" i="9"/>
  <c r="A34" i="8"/>
  <c r="C34" i="8" s="1"/>
  <c r="C33" i="3"/>
  <c r="D33" i="3" s="1"/>
  <c r="B33" i="4"/>
  <c r="A33" i="4"/>
  <c r="C33" i="4" s="1"/>
  <c r="B33" i="3"/>
  <c r="A34" i="3"/>
  <c r="F37" i="9" l="1"/>
  <c r="B37" i="9"/>
  <c r="E34" i="9"/>
  <c r="G34" i="9" s="1"/>
  <c r="D35" i="9" s="1"/>
  <c r="D34" i="8"/>
  <c r="A38" i="9"/>
  <c r="D33" i="4"/>
  <c r="C36" i="9"/>
  <c r="A35" i="8"/>
  <c r="C35" i="8" s="1"/>
  <c r="C34" i="3"/>
  <c r="D34" i="3" s="1"/>
  <c r="B34" i="4"/>
  <c r="A34" i="4"/>
  <c r="C34" i="4" s="1"/>
  <c r="B34" i="3"/>
  <c r="A35" i="3"/>
  <c r="F38" i="9" l="1"/>
  <c r="B38" i="9"/>
  <c r="E35" i="9"/>
  <c r="G35" i="9" s="1"/>
  <c r="D36" i="9" s="1"/>
  <c r="D35" i="8"/>
  <c r="A39" i="9"/>
  <c r="D34" i="4"/>
  <c r="C37" i="9"/>
  <c r="A36" i="8"/>
  <c r="C36" i="8" s="1"/>
  <c r="C35" i="3"/>
  <c r="D35" i="3" s="1"/>
  <c r="B35" i="4"/>
  <c r="A35" i="4"/>
  <c r="C35" i="4" s="1"/>
  <c r="B35" i="3"/>
  <c r="A36" i="3"/>
  <c r="F39" i="9" l="1"/>
  <c r="B39" i="9"/>
  <c r="E36" i="9"/>
  <c r="G36" i="9" s="1"/>
  <c r="D37" i="9" s="1"/>
  <c r="D36" i="8"/>
  <c r="A40" i="9"/>
  <c r="D35" i="4"/>
  <c r="C38" i="9"/>
  <c r="A37" i="8"/>
  <c r="C37" i="8" s="1"/>
  <c r="C36" i="3"/>
  <c r="D36" i="3" s="1"/>
  <c r="B36" i="4"/>
  <c r="A36" i="4"/>
  <c r="C36" i="4" s="1"/>
  <c r="B36" i="3"/>
  <c r="A37" i="3"/>
  <c r="F40" i="9" l="1"/>
  <c r="B40" i="9"/>
  <c r="E37" i="9"/>
  <c r="G37" i="9" s="1"/>
  <c r="D38" i="9" s="1"/>
  <c r="D37" i="8"/>
  <c r="A41" i="9"/>
  <c r="D36" i="4"/>
  <c r="C39" i="9"/>
  <c r="A38" i="8"/>
  <c r="C38" i="8" s="1"/>
  <c r="C37" i="3"/>
  <c r="D37" i="3" s="1"/>
  <c r="B37" i="4"/>
  <c r="A37" i="4"/>
  <c r="C37" i="4" s="1"/>
  <c r="B37" i="3"/>
  <c r="A38" i="3"/>
  <c r="F41" i="9" l="1"/>
  <c r="B41" i="9"/>
  <c r="E38" i="9"/>
  <c r="G38" i="9" s="1"/>
  <c r="D39" i="9" s="1"/>
  <c r="D38" i="8"/>
  <c r="A42" i="9"/>
  <c r="B42" i="9" s="1"/>
  <c r="D37" i="4"/>
  <c r="C40" i="9"/>
  <c r="A39" i="8"/>
  <c r="C39" i="8" s="1"/>
  <c r="C38" i="3"/>
  <c r="D38" i="3" s="1"/>
  <c r="B38" i="4"/>
  <c r="A38" i="4"/>
  <c r="C38" i="4" s="1"/>
  <c r="B38" i="3"/>
  <c r="A39" i="3"/>
  <c r="F42" i="9" l="1"/>
  <c r="E39" i="9"/>
  <c r="G39" i="9" s="1"/>
  <c r="D40" i="9" s="1"/>
  <c r="D39" i="8"/>
  <c r="A43" i="9"/>
  <c r="B43" i="9" s="1"/>
  <c r="D38" i="4"/>
  <c r="C41" i="9"/>
  <c r="A40" i="8"/>
  <c r="C40" i="8" s="1"/>
  <c r="C39" i="3"/>
  <c r="D39" i="3" s="1"/>
  <c r="B39" i="4"/>
  <c r="A39" i="4"/>
  <c r="C39" i="4" s="1"/>
  <c r="B39" i="3"/>
  <c r="A40" i="3"/>
  <c r="F43" i="9" l="1"/>
  <c r="E40" i="9"/>
  <c r="G40" i="9" s="1"/>
  <c r="D41" i="9" s="1"/>
  <c r="D40" i="8"/>
  <c r="A44" i="9"/>
  <c r="B44" i="9" s="1"/>
  <c r="D39" i="4"/>
  <c r="C42" i="9"/>
  <c r="A41" i="8"/>
  <c r="C41" i="8" s="1"/>
  <c r="C40" i="3"/>
  <c r="D40" i="3" s="1"/>
  <c r="B40" i="4"/>
  <c r="A40" i="4"/>
  <c r="C40" i="4" s="1"/>
  <c r="B40" i="3"/>
  <c r="A41" i="3"/>
  <c r="F44" i="9" l="1"/>
  <c r="E41" i="9"/>
  <c r="G41" i="9" s="1"/>
  <c r="D42" i="9" s="1"/>
  <c r="D41" i="8"/>
  <c r="A45" i="9"/>
  <c r="B45" i="9" s="1"/>
  <c r="D40" i="4"/>
  <c r="C43" i="9"/>
  <c r="A42" i="8"/>
  <c r="C42" i="8" s="1"/>
  <c r="C41" i="3"/>
  <c r="D41" i="3" s="1"/>
  <c r="B41" i="4"/>
  <c r="A41" i="4"/>
  <c r="C41" i="4" s="1"/>
  <c r="B41" i="3"/>
  <c r="A42" i="3"/>
  <c r="F45" i="9" l="1"/>
  <c r="E42" i="9"/>
  <c r="G42" i="9" s="1"/>
  <c r="D43" i="9" s="1"/>
  <c r="D42" i="8"/>
  <c r="A46" i="9"/>
  <c r="B46" i="9" s="1"/>
  <c r="D41" i="4"/>
  <c r="C44" i="9"/>
  <c r="A43" i="8"/>
  <c r="C43" i="8" s="1"/>
  <c r="C42" i="3"/>
  <c r="D42" i="3" s="1"/>
  <c r="B42" i="4"/>
  <c r="A42" i="4"/>
  <c r="C42" i="4" s="1"/>
  <c r="B42" i="3"/>
  <c r="A43" i="3"/>
  <c r="E43" i="9" l="1"/>
  <c r="G43" i="9"/>
  <c r="D44" i="9" s="1"/>
  <c r="F46" i="9"/>
  <c r="D43" i="8"/>
  <c r="A47" i="9"/>
  <c r="B47" i="9" s="1"/>
  <c r="D42" i="4"/>
  <c r="C45" i="9"/>
  <c r="A44" i="8"/>
  <c r="C44" i="8" s="1"/>
  <c r="C43" i="3"/>
  <c r="D43" i="3" s="1"/>
  <c r="B43" i="4"/>
  <c r="A43" i="4"/>
  <c r="C43" i="4" s="1"/>
  <c r="B43" i="3"/>
  <c r="A44" i="3"/>
  <c r="E44" i="9" l="1"/>
  <c r="G44" i="9"/>
  <c r="D45" i="9" s="1"/>
  <c r="F47" i="9"/>
  <c r="D44" i="8"/>
  <c r="A48" i="9"/>
  <c r="B48" i="9" s="1"/>
  <c r="D43" i="4"/>
  <c r="C46" i="9"/>
  <c r="A45" i="8"/>
  <c r="C45" i="8" s="1"/>
  <c r="C44" i="3"/>
  <c r="D44" i="3" s="1"/>
  <c r="B44" i="4"/>
  <c r="A44" i="4"/>
  <c r="C44" i="4" s="1"/>
  <c r="B44" i="3"/>
  <c r="A45" i="3"/>
  <c r="E45" i="9" l="1"/>
  <c r="G45" i="9"/>
  <c r="D46" i="9" s="1"/>
  <c r="F48" i="9"/>
  <c r="D45" i="8"/>
  <c r="A49" i="9"/>
  <c r="B49" i="9" s="1"/>
  <c r="D44" i="4"/>
  <c r="C47" i="9"/>
  <c r="A46" i="8"/>
  <c r="C46" i="8" s="1"/>
  <c r="C45" i="3"/>
  <c r="D45" i="3" s="1"/>
  <c r="B45" i="4"/>
  <c r="A45" i="4"/>
  <c r="C45" i="4" s="1"/>
  <c r="B45" i="3"/>
  <c r="A46" i="3"/>
  <c r="E46" i="9" l="1"/>
  <c r="G46" i="9"/>
  <c r="D47" i="9" s="1"/>
  <c r="F49" i="9"/>
  <c r="D46" i="8"/>
  <c r="A50" i="9"/>
  <c r="B50" i="9" s="1"/>
  <c r="D45" i="4"/>
  <c r="C48" i="9"/>
  <c r="A47" i="8"/>
  <c r="C47" i="8" s="1"/>
  <c r="C46" i="3"/>
  <c r="D46" i="3" s="1"/>
  <c r="B46" i="4"/>
  <c r="A46" i="4"/>
  <c r="C46" i="4" s="1"/>
  <c r="B46" i="3"/>
  <c r="A47" i="3"/>
  <c r="E47" i="9" l="1"/>
  <c r="G47" i="9"/>
  <c r="D48" i="9" s="1"/>
  <c r="F50" i="9"/>
  <c r="D47" i="8"/>
  <c r="A51" i="9"/>
  <c r="B51" i="9" s="1"/>
  <c r="D46" i="4"/>
  <c r="C49" i="9"/>
  <c r="A48" i="8"/>
  <c r="C48" i="8" s="1"/>
  <c r="C47" i="3"/>
  <c r="D47" i="3" s="1"/>
  <c r="B47" i="4"/>
  <c r="A47" i="4"/>
  <c r="C47" i="4" s="1"/>
  <c r="B47" i="3"/>
  <c r="A48" i="3"/>
  <c r="E48" i="9" l="1"/>
  <c r="G48" i="9"/>
  <c r="D49" i="9" s="1"/>
  <c r="F51" i="9"/>
  <c r="D48" i="8"/>
  <c r="A52" i="9"/>
  <c r="B52" i="9" s="1"/>
  <c r="D47" i="4"/>
  <c r="C50" i="9"/>
  <c r="A49" i="8"/>
  <c r="C49" i="8" s="1"/>
  <c r="C48" i="3"/>
  <c r="D48" i="3" s="1"/>
  <c r="B48" i="4"/>
  <c r="A48" i="4"/>
  <c r="C48" i="4" s="1"/>
  <c r="B48" i="3"/>
  <c r="A49" i="3"/>
  <c r="E49" i="9" l="1"/>
  <c r="G49" i="9"/>
  <c r="D50" i="9" s="1"/>
  <c r="F52" i="9"/>
  <c r="D49" i="8"/>
  <c r="A53" i="9"/>
  <c r="B53" i="9" s="1"/>
  <c r="D48" i="4"/>
  <c r="C51" i="9"/>
  <c r="A50" i="8"/>
  <c r="C50" i="8" s="1"/>
  <c r="C49" i="3"/>
  <c r="D49" i="3" s="1"/>
  <c r="B49" i="4"/>
  <c r="A49" i="4"/>
  <c r="C49" i="4" s="1"/>
  <c r="B49" i="3"/>
  <c r="A50" i="3"/>
  <c r="E50" i="9" l="1"/>
  <c r="G50" i="9"/>
  <c r="D51" i="9" s="1"/>
  <c r="F53" i="9"/>
  <c r="D50" i="8"/>
  <c r="A54" i="9"/>
  <c r="B54" i="9" s="1"/>
  <c r="D49" i="4"/>
  <c r="C52" i="9"/>
  <c r="A51" i="8"/>
  <c r="C51" i="8" s="1"/>
  <c r="C50" i="3"/>
  <c r="D50" i="3" s="1"/>
  <c r="B50" i="4"/>
  <c r="A50" i="4"/>
  <c r="C50" i="4" s="1"/>
  <c r="B50" i="3"/>
  <c r="A51" i="3"/>
  <c r="E51" i="9" l="1"/>
  <c r="G51" i="9"/>
  <c r="D52" i="9" s="1"/>
  <c r="F54" i="9"/>
  <c r="D51" i="8"/>
  <c r="A55" i="9"/>
  <c r="B55" i="9" s="1"/>
  <c r="D50" i="4"/>
  <c r="C53" i="9"/>
  <c r="A52" i="8"/>
  <c r="C52" i="8" s="1"/>
  <c r="C51" i="3"/>
  <c r="D51" i="3" s="1"/>
  <c r="B51" i="4"/>
  <c r="A51" i="4"/>
  <c r="C51" i="4" s="1"/>
  <c r="B51" i="3"/>
  <c r="A52" i="3"/>
  <c r="E52" i="9" l="1"/>
  <c r="G52" i="9"/>
  <c r="D53" i="9"/>
  <c r="F55" i="9"/>
  <c r="D52" i="8"/>
  <c r="A56" i="9"/>
  <c r="B56" i="9" s="1"/>
  <c r="D51" i="4"/>
  <c r="C54" i="9"/>
  <c r="A53" i="8"/>
  <c r="C53" i="8" s="1"/>
  <c r="C52" i="3"/>
  <c r="D52" i="3" s="1"/>
  <c r="B52" i="4"/>
  <c r="A52" i="4"/>
  <c r="C52" i="4" s="1"/>
  <c r="B52" i="3"/>
  <c r="A53" i="3"/>
  <c r="E53" i="9" l="1"/>
  <c r="G53" i="9"/>
  <c r="D54" i="9" s="1"/>
  <c r="F56" i="9"/>
  <c r="D53" i="8"/>
  <c r="A57" i="9"/>
  <c r="B57" i="9" s="1"/>
  <c r="D52" i="4"/>
  <c r="C55" i="9"/>
  <c r="A54" i="8"/>
  <c r="C54" i="8" s="1"/>
  <c r="C53" i="3"/>
  <c r="D53" i="3" s="1"/>
  <c r="B53" i="4"/>
  <c r="A53" i="4"/>
  <c r="C53" i="4" s="1"/>
  <c r="B53" i="3"/>
  <c r="A54" i="3"/>
  <c r="E54" i="9" l="1"/>
  <c r="G54" i="9"/>
  <c r="D55" i="9"/>
  <c r="F57" i="9"/>
  <c r="D54" i="8"/>
  <c r="A58" i="9"/>
  <c r="B58" i="9" s="1"/>
  <c r="D53" i="4"/>
  <c r="C56" i="9"/>
  <c r="A55" i="8"/>
  <c r="C55" i="8" s="1"/>
  <c r="C54" i="3"/>
  <c r="D54" i="3" s="1"/>
  <c r="B54" i="4"/>
  <c r="A54" i="4"/>
  <c r="C54" i="4" s="1"/>
  <c r="B54" i="3"/>
  <c r="A55" i="3"/>
  <c r="E55" i="9" l="1"/>
  <c r="G55" i="9"/>
  <c r="D56" i="9" s="1"/>
  <c r="F58" i="9"/>
  <c r="D55" i="8"/>
  <c r="A59" i="9"/>
  <c r="B59" i="9" s="1"/>
  <c r="D54" i="4"/>
  <c r="C57" i="9"/>
  <c r="A56" i="8"/>
  <c r="C56" i="8" s="1"/>
  <c r="C55" i="3"/>
  <c r="D55" i="3" s="1"/>
  <c r="B55" i="4"/>
  <c r="A55" i="4"/>
  <c r="C55" i="4" s="1"/>
  <c r="B55" i="3"/>
  <c r="A56" i="3"/>
  <c r="E56" i="9" l="1"/>
  <c r="G56" i="9"/>
  <c r="D57" i="9"/>
  <c r="F59" i="9"/>
  <c r="D56" i="8"/>
  <c r="A60" i="9"/>
  <c r="B60" i="9" s="1"/>
  <c r="D55" i="4"/>
  <c r="C58" i="9"/>
  <c r="A57" i="8"/>
  <c r="C57" i="8" s="1"/>
  <c r="C56" i="3"/>
  <c r="D56" i="3" s="1"/>
  <c r="B56" i="4"/>
  <c r="A56" i="4"/>
  <c r="C56" i="4" s="1"/>
  <c r="B56" i="3"/>
  <c r="A57" i="3"/>
  <c r="E57" i="9" l="1"/>
  <c r="G57" i="9"/>
  <c r="D58" i="9" s="1"/>
  <c r="F60" i="9"/>
  <c r="D57" i="8"/>
  <c r="A61" i="9"/>
  <c r="B61" i="9" s="1"/>
  <c r="D56" i="4"/>
  <c r="C59" i="9"/>
  <c r="A58" i="8"/>
  <c r="C58" i="8" s="1"/>
  <c r="C57" i="3"/>
  <c r="D57" i="3" s="1"/>
  <c r="B57" i="4"/>
  <c r="A57" i="4"/>
  <c r="C57" i="4" s="1"/>
  <c r="B57" i="3"/>
  <c r="A58" i="3"/>
  <c r="E58" i="9" l="1"/>
  <c r="G58" i="9"/>
  <c r="D59" i="9"/>
  <c r="F61" i="9"/>
  <c r="D58" i="8"/>
  <c r="A62" i="9"/>
  <c r="B62" i="9" s="1"/>
  <c r="D57" i="4"/>
  <c r="C60" i="9"/>
  <c r="A59" i="8"/>
  <c r="C59" i="8" s="1"/>
  <c r="C58" i="3"/>
  <c r="D58" i="3" s="1"/>
  <c r="B58" i="4"/>
  <c r="A58" i="4"/>
  <c r="C58" i="4" s="1"/>
  <c r="B58" i="3"/>
  <c r="A59" i="3"/>
  <c r="E59" i="9" l="1"/>
  <c r="G59" i="9"/>
  <c r="D60" i="9" s="1"/>
  <c r="F62" i="9"/>
  <c r="D59" i="8"/>
  <c r="A63" i="9"/>
  <c r="B63" i="9" s="1"/>
  <c r="D58" i="4"/>
  <c r="C61" i="9"/>
  <c r="A60" i="8"/>
  <c r="C60" i="8" s="1"/>
  <c r="C59" i="3"/>
  <c r="D59" i="3" s="1"/>
  <c r="B59" i="4"/>
  <c r="A59" i="4"/>
  <c r="C59" i="4" s="1"/>
  <c r="B59" i="3"/>
  <c r="A60" i="3"/>
  <c r="E60" i="9" l="1"/>
  <c r="G60" i="9"/>
  <c r="D61" i="9"/>
  <c r="F63" i="9"/>
  <c r="G63" i="9" s="1"/>
  <c r="D63" i="9"/>
  <c r="E63" i="9"/>
  <c r="D60" i="8"/>
  <c r="A64" i="9"/>
  <c r="B64" i="9" s="1"/>
  <c r="D59" i="4"/>
  <c r="C62" i="9"/>
  <c r="A61" i="8"/>
  <c r="C61" i="8" s="1"/>
  <c r="C60" i="3"/>
  <c r="D60" i="3" s="1"/>
  <c r="B60" i="4"/>
  <c r="A60" i="4"/>
  <c r="C60" i="4" s="1"/>
  <c r="B60" i="3"/>
  <c r="A61" i="3"/>
  <c r="E61" i="9" l="1"/>
  <c r="G61" i="9"/>
  <c r="D62" i="9" s="1"/>
  <c r="F64" i="9"/>
  <c r="G64" i="9" s="1"/>
  <c r="D64" i="9"/>
  <c r="E64" i="9"/>
  <c r="D61" i="8"/>
  <c r="A65" i="9"/>
  <c r="B65" i="9" s="1"/>
  <c r="D60" i="4"/>
  <c r="C63" i="9"/>
  <c r="A62" i="8"/>
  <c r="C62" i="8" s="1"/>
  <c r="C61" i="3"/>
  <c r="D61" i="3" s="1"/>
  <c r="B61" i="4"/>
  <c r="A61" i="4"/>
  <c r="C61" i="4" s="1"/>
  <c r="B61" i="3"/>
  <c r="A62" i="3"/>
  <c r="E62" i="9" l="1"/>
  <c r="G62" i="9"/>
  <c r="F65" i="9"/>
  <c r="G65" i="9" s="1"/>
  <c r="D65" i="9"/>
  <c r="E65" i="9"/>
  <c r="D62" i="8"/>
  <c r="A66" i="9"/>
  <c r="B66" i="9" s="1"/>
  <c r="D61" i="4"/>
  <c r="C64" i="9"/>
  <c r="A63" i="8"/>
  <c r="C63" i="8" s="1"/>
  <c r="C62" i="3"/>
  <c r="D62" i="3" s="1"/>
  <c r="B62" i="4"/>
  <c r="A62" i="4"/>
  <c r="C62" i="4" s="1"/>
  <c r="B62" i="3"/>
  <c r="A63" i="3"/>
  <c r="F66" i="9" l="1"/>
  <c r="G66" i="9" s="1"/>
  <c r="D66" i="9"/>
  <c r="E66" i="9"/>
  <c r="D63" i="8"/>
  <c r="A67" i="9"/>
  <c r="B67" i="9" s="1"/>
  <c r="D62" i="4"/>
  <c r="C65" i="9"/>
  <c r="A64" i="8"/>
  <c r="C64" i="8" s="1"/>
  <c r="C63" i="3"/>
  <c r="D63" i="3" s="1"/>
  <c r="B63" i="4"/>
  <c r="A63" i="4"/>
  <c r="C63" i="4" s="1"/>
  <c r="B63" i="3"/>
  <c r="A64" i="3"/>
  <c r="F67" i="9" l="1"/>
  <c r="G67" i="9" s="1"/>
  <c r="D67" i="9"/>
  <c r="E67" i="9"/>
  <c r="D64" i="8"/>
  <c r="A68" i="9"/>
  <c r="B68" i="9" s="1"/>
  <c r="D63" i="4"/>
  <c r="C66" i="9"/>
  <c r="A65" i="8"/>
  <c r="C65" i="8" s="1"/>
  <c r="C64" i="3"/>
  <c r="D64" i="3" s="1"/>
  <c r="B64" i="4"/>
  <c r="A64" i="4"/>
  <c r="C64" i="4" s="1"/>
  <c r="B64" i="3"/>
  <c r="A65" i="3"/>
  <c r="F68" i="9" l="1"/>
  <c r="G68" i="9" s="1"/>
  <c r="D68" i="9"/>
  <c r="E68" i="9"/>
  <c r="D65" i="8"/>
  <c r="A69" i="9"/>
  <c r="B69" i="9" s="1"/>
  <c r="D64" i="4"/>
  <c r="C67" i="9"/>
  <c r="A66" i="8"/>
  <c r="C66" i="8" s="1"/>
  <c r="C65" i="3"/>
  <c r="D65" i="3" s="1"/>
  <c r="B65" i="4"/>
  <c r="A65" i="4"/>
  <c r="C65" i="4" s="1"/>
  <c r="B65" i="3"/>
  <c r="A66" i="3"/>
  <c r="F69" i="9" l="1"/>
  <c r="G69" i="9" s="1"/>
  <c r="D69" i="9"/>
  <c r="E69" i="9"/>
  <c r="D66" i="8"/>
  <c r="A70" i="9"/>
  <c r="B70" i="9" s="1"/>
  <c r="D65" i="4"/>
  <c r="C68" i="9"/>
  <c r="A67" i="8"/>
  <c r="C67" i="8" s="1"/>
  <c r="C66" i="3"/>
  <c r="D66" i="3" s="1"/>
  <c r="B66" i="4"/>
  <c r="A66" i="4"/>
  <c r="C66" i="4" s="1"/>
  <c r="B66" i="3"/>
  <c r="A67" i="3"/>
  <c r="F70" i="9" l="1"/>
  <c r="G70" i="9" s="1"/>
  <c r="D70" i="9"/>
  <c r="E70" i="9"/>
  <c r="D67" i="8"/>
  <c r="A71" i="9"/>
  <c r="B71" i="9" s="1"/>
  <c r="D66" i="4"/>
  <c r="C69" i="9"/>
  <c r="A68" i="8"/>
  <c r="C68" i="8" s="1"/>
  <c r="C67" i="3"/>
  <c r="D67" i="3" s="1"/>
  <c r="B67" i="4"/>
  <c r="A67" i="4"/>
  <c r="C67" i="4" s="1"/>
  <c r="B67" i="3"/>
  <c r="A68" i="3"/>
  <c r="F71" i="9" l="1"/>
  <c r="G71" i="9" s="1"/>
  <c r="D71" i="9"/>
  <c r="E71" i="9"/>
  <c r="D68" i="8"/>
  <c r="A72" i="9"/>
  <c r="B72" i="9" s="1"/>
  <c r="D67" i="4"/>
  <c r="C70" i="9"/>
  <c r="A69" i="8"/>
  <c r="C69" i="8" s="1"/>
  <c r="C68" i="3"/>
  <c r="D68" i="3" s="1"/>
  <c r="B68" i="4"/>
  <c r="A68" i="4"/>
  <c r="C68" i="4" s="1"/>
  <c r="B68" i="3"/>
  <c r="A69" i="3"/>
  <c r="F72" i="9" l="1"/>
  <c r="G72" i="9" s="1"/>
  <c r="D72" i="9"/>
  <c r="E72" i="9"/>
  <c r="D69" i="8"/>
  <c r="A73" i="9"/>
  <c r="B73" i="9" s="1"/>
  <c r="D68" i="4"/>
  <c r="C71" i="9"/>
  <c r="A70" i="8"/>
  <c r="C70" i="8" s="1"/>
  <c r="C69" i="3"/>
  <c r="D69" i="3" s="1"/>
  <c r="B69" i="4"/>
  <c r="A69" i="4"/>
  <c r="C69" i="4" s="1"/>
  <c r="B69" i="3"/>
  <c r="A70" i="3"/>
  <c r="F73" i="9" l="1"/>
  <c r="G73" i="9" s="1"/>
  <c r="D73" i="9"/>
  <c r="E73" i="9"/>
  <c r="D70" i="8"/>
  <c r="A74" i="9"/>
  <c r="B74" i="9" s="1"/>
  <c r="D69" i="4"/>
  <c r="C72" i="9"/>
  <c r="A71" i="8"/>
  <c r="C71" i="8" s="1"/>
  <c r="C70" i="3"/>
  <c r="D70" i="3" s="1"/>
  <c r="B70" i="4"/>
  <c r="A70" i="4"/>
  <c r="C70" i="4" s="1"/>
  <c r="B70" i="3"/>
  <c r="A71" i="3"/>
  <c r="F74" i="9" l="1"/>
  <c r="G74" i="9" s="1"/>
  <c r="D74" i="9"/>
  <c r="E74" i="9"/>
  <c r="D71" i="8"/>
  <c r="A75" i="9"/>
  <c r="B75" i="9" s="1"/>
  <c r="D70" i="4"/>
  <c r="C73" i="9"/>
  <c r="A72" i="8"/>
  <c r="C72" i="8" s="1"/>
  <c r="C71" i="3"/>
  <c r="D71" i="3" s="1"/>
  <c r="B71" i="4"/>
  <c r="A71" i="4"/>
  <c r="C71" i="4" s="1"/>
  <c r="B71" i="3"/>
  <c r="A72" i="3"/>
  <c r="F75" i="9" l="1"/>
  <c r="G75" i="9" s="1"/>
  <c r="D75" i="9"/>
  <c r="E75" i="9"/>
  <c r="D72" i="8"/>
  <c r="A76" i="9"/>
  <c r="B76" i="9" s="1"/>
  <c r="D71" i="4"/>
  <c r="C74" i="9"/>
  <c r="A73" i="8"/>
  <c r="C73" i="8" s="1"/>
  <c r="C72" i="3"/>
  <c r="D72" i="3" s="1"/>
  <c r="B72" i="4"/>
  <c r="A72" i="4"/>
  <c r="C72" i="4" s="1"/>
  <c r="B72" i="3"/>
  <c r="A73" i="3"/>
  <c r="F76" i="9" l="1"/>
  <c r="G76" i="9" s="1"/>
  <c r="D76" i="9"/>
  <c r="E76" i="9"/>
  <c r="D73" i="8"/>
  <c r="A77" i="9"/>
  <c r="B77" i="9" s="1"/>
  <c r="D72" i="4"/>
  <c r="C75" i="9"/>
  <c r="A74" i="8"/>
  <c r="C74" i="8" s="1"/>
  <c r="C73" i="3"/>
  <c r="D73" i="3" s="1"/>
  <c r="B73" i="4"/>
  <c r="A73" i="4"/>
  <c r="C73" i="4" s="1"/>
  <c r="B73" i="3"/>
  <c r="A74" i="3"/>
  <c r="F77" i="9" l="1"/>
  <c r="G77" i="9" s="1"/>
  <c r="D77" i="9"/>
  <c r="E77" i="9"/>
  <c r="D74" i="8"/>
  <c r="A78" i="9"/>
  <c r="B78" i="9" s="1"/>
  <c r="D73" i="4"/>
  <c r="C76" i="9"/>
  <c r="A75" i="8"/>
  <c r="C75" i="8" s="1"/>
  <c r="C74" i="3"/>
  <c r="D74" i="3" s="1"/>
  <c r="B74" i="4"/>
  <c r="A74" i="4"/>
  <c r="C74" i="4" s="1"/>
  <c r="B74" i="3"/>
  <c r="A75" i="3"/>
  <c r="F78" i="9" l="1"/>
  <c r="G78" i="9" s="1"/>
  <c r="D78" i="9"/>
  <c r="E78" i="9"/>
  <c r="D75" i="8"/>
  <c r="A79" i="9"/>
  <c r="B79" i="9" s="1"/>
  <c r="D74" i="4"/>
  <c r="C77" i="9"/>
  <c r="A76" i="8"/>
  <c r="C76" i="8" s="1"/>
  <c r="C75" i="3"/>
  <c r="D75" i="3" s="1"/>
  <c r="B75" i="4"/>
  <c r="A75" i="4"/>
  <c r="C75" i="4" s="1"/>
  <c r="B75" i="3"/>
  <c r="A76" i="3"/>
  <c r="F79" i="9" l="1"/>
  <c r="G79" i="9" s="1"/>
  <c r="D79" i="9"/>
  <c r="E79" i="9"/>
  <c r="D76" i="8"/>
  <c r="A80" i="9"/>
  <c r="B80" i="9" s="1"/>
  <c r="D75" i="4"/>
  <c r="C78" i="9"/>
  <c r="A77" i="8"/>
  <c r="C77" i="8" s="1"/>
  <c r="C76" i="3"/>
  <c r="D76" i="3" s="1"/>
  <c r="B76" i="4"/>
  <c r="A76" i="4"/>
  <c r="C76" i="4" s="1"/>
  <c r="B76" i="3"/>
  <c r="A77" i="3"/>
  <c r="F80" i="9" l="1"/>
  <c r="G80" i="9" s="1"/>
  <c r="D80" i="9"/>
  <c r="E80" i="9"/>
  <c r="D77" i="8"/>
  <c r="A81" i="9"/>
  <c r="B81" i="9" s="1"/>
  <c r="D76" i="4"/>
  <c r="C79" i="9"/>
  <c r="A78" i="8"/>
  <c r="C78" i="8" s="1"/>
  <c r="C77" i="3"/>
  <c r="D77" i="3" s="1"/>
  <c r="B77" i="4"/>
  <c r="A77" i="4"/>
  <c r="C77" i="4" s="1"/>
  <c r="B77" i="3"/>
  <c r="A78" i="3"/>
  <c r="F81" i="9" l="1"/>
  <c r="G81" i="9" s="1"/>
  <c r="D81" i="9"/>
  <c r="E81" i="9"/>
  <c r="D78" i="8"/>
  <c r="A82" i="9"/>
  <c r="B82" i="9" s="1"/>
  <c r="D77" i="4"/>
  <c r="C80" i="9"/>
  <c r="A79" i="8"/>
  <c r="C79" i="8" s="1"/>
  <c r="C78" i="3"/>
  <c r="D78" i="3" s="1"/>
  <c r="B78" i="4"/>
  <c r="A78" i="4"/>
  <c r="C78" i="4" s="1"/>
  <c r="B78" i="3"/>
  <c r="A79" i="3"/>
  <c r="F82" i="9" l="1"/>
  <c r="G82" i="9" s="1"/>
  <c r="D82" i="9"/>
  <c r="E82" i="9"/>
  <c r="D79" i="8"/>
  <c r="A83" i="9"/>
  <c r="B83" i="9" s="1"/>
  <c r="D78" i="4"/>
  <c r="C81" i="9"/>
  <c r="A80" i="8"/>
  <c r="C80" i="8" s="1"/>
  <c r="C79" i="3"/>
  <c r="D79" i="3" s="1"/>
  <c r="B79" i="4"/>
  <c r="A79" i="4"/>
  <c r="C79" i="4" s="1"/>
  <c r="B79" i="3"/>
  <c r="A80" i="3"/>
  <c r="F83" i="9" l="1"/>
  <c r="G83" i="9" s="1"/>
  <c r="D83" i="9"/>
  <c r="E83" i="9"/>
  <c r="D80" i="8"/>
  <c r="A84" i="9"/>
  <c r="B84" i="9" s="1"/>
  <c r="D79" i="4"/>
  <c r="C82" i="9"/>
  <c r="A81" i="8"/>
  <c r="C81" i="8" s="1"/>
  <c r="C80" i="3"/>
  <c r="D80" i="3" s="1"/>
  <c r="B80" i="4"/>
  <c r="A80" i="4"/>
  <c r="C80" i="4" s="1"/>
  <c r="B80" i="3"/>
  <c r="A81" i="3"/>
  <c r="F84" i="9" l="1"/>
  <c r="G84" i="9" s="1"/>
  <c r="D84" i="9"/>
  <c r="E84" i="9"/>
  <c r="D81" i="8"/>
  <c r="A85" i="9"/>
  <c r="B85" i="9" s="1"/>
  <c r="D80" i="4"/>
  <c r="C83" i="9"/>
  <c r="A82" i="8"/>
  <c r="C82" i="8" s="1"/>
  <c r="C81" i="3"/>
  <c r="D81" i="3" s="1"/>
  <c r="B81" i="4"/>
  <c r="A81" i="4"/>
  <c r="C81" i="4" s="1"/>
  <c r="B81" i="3"/>
  <c r="A82" i="3"/>
  <c r="F85" i="9" l="1"/>
  <c r="G85" i="9" s="1"/>
  <c r="D85" i="9"/>
  <c r="E85" i="9"/>
  <c r="D82" i="8"/>
  <c r="A86" i="9"/>
  <c r="B86" i="9" s="1"/>
  <c r="D81" i="4"/>
  <c r="C84" i="9"/>
  <c r="A83" i="8"/>
  <c r="C83" i="8" s="1"/>
  <c r="C82" i="3"/>
  <c r="D82" i="3" s="1"/>
  <c r="B82" i="4"/>
  <c r="A82" i="4"/>
  <c r="C82" i="4" s="1"/>
  <c r="B82" i="3"/>
  <c r="A83" i="3"/>
  <c r="F86" i="9" l="1"/>
  <c r="G86" i="9" s="1"/>
  <c r="D86" i="9"/>
  <c r="E86" i="9"/>
  <c r="D83" i="8"/>
  <c r="A87" i="9"/>
  <c r="B87" i="9" s="1"/>
  <c r="D82" i="4"/>
  <c r="C85" i="9"/>
  <c r="A84" i="8"/>
  <c r="C84" i="8" s="1"/>
  <c r="C83" i="3"/>
  <c r="D83" i="3" s="1"/>
  <c r="B83" i="4"/>
  <c r="A83" i="4"/>
  <c r="C83" i="4" s="1"/>
  <c r="B83" i="3"/>
  <c r="A84" i="3"/>
  <c r="F87" i="9" l="1"/>
  <c r="G87" i="9" s="1"/>
  <c r="D87" i="9"/>
  <c r="E87" i="9"/>
  <c r="D84" i="8"/>
  <c r="A88" i="9"/>
  <c r="B88" i="9" s="1"/>
  <c r="D83" i="4"/>
  <c r="C86" i="9"/>
  <c r="A85" i="8"/>
  <c r="C85" i="8" s="1"/>
  <c r="C84" i="3"/>
  <c r="D84" i="3" s="1"/>
  <c r="B84" i="4"/>
  <c r="A84" i="4"/>
  <c r="C84" i="4" s="1"/>
  <c r="B84" i="3"/>
  <c r="A85" i="3"/>
  <c r="F88" i="9" l="1"/>
  <c r="G88" i="9" s="1"/>
  <c r="D88" i="9"/>
  <c r="E88" i="9"/>
  <c r="D85" i="8"/>
  <c r="A89" i="9"/>
  <c r="B89" i="9" s="1"/>
  <c r="D84" i="4"/>
  <c r="C87" i="9"/>
  <c r="A86" i="8"/>
  <c r="C86" i="8" s="1"/>
  <c r="C85" i="3"/>
  <c r="D85" i="3" s="1"/>
  <c r="B85" i="4"/>
  <c r="A85" i="4"/>
  <c r="C85" i="4" s="1"/>
  <c r="B85" i="3"/>
  <c r="A86" i="3"/>
  <c r="F89" i="9" l="1"/>
  <c r="G89" i="9" s="1"/>
  <c r="D89" i="9"/>
  <c r="E89" i="9"/>
  <c r="D86" i="8"/>
  <c r="A90" i="9"/>
  <c r="B90" i="9" s="1"/>
  <c r="D85" i="4"/>
  <c r="C88" i="9"/>
  <c r="A87" i="8"/>
  <c r="C87" i="8" s="1"/>
  <c r="C86" i="3"/>
  <c r="D86" i="3" s="1"/>
  <c r="B86" i="4"/>
  <c r="A86" i="4"/>
  <c r="C86" i="4" s="1"/>
  <c r="B86" i="3"/>
  <c r="A87" i="3"/>
  <c r="F90" i="9" l="1"/>
  <c r="G90" i="9" s="1"/>
  <c r="D90" i="9"/>
  <c r="E90" i="9"/>
  <c r="D87" i="8"/>
  <c r="A91" i="9"/>
  <c r="B91" i="9" s="1"/>
  <c r="D86" i="4"/>
  <c r="C89" i="9"/>
  <c r="A88" i="8"/>
  <c r="C88" i="8" s="1"/>
  <c r="C87" i="3"/>
  <c r="D87" i="3" s="1"/>
  <c r="B87" i="4"/>
  <c r="A87" i="4"/>
  <c r="C87" i="4" s="1"/>
  <c r="B87" i="3"/>
  <c r="A88" i="3"/>
  <c r="F91" i="9" l="1"/>
  <c r="G91" i="9" s="1"/>
  <c r="D91" i="9"/>
  <c r="E91" i="9"/>
  <c r="D88" i="8"/>
  <c r="A92" i="9"/>
  <c r="B92" i="9" s="1"/>
  <c r="D87" i="4"/>
  <c r="C90" i="9"/>
  <c r="A89" i="8"/>
  <c r="C89" i="8" s="1"/>
  <c r="C88" i="3"/>
  <c r="D88" i="3" s="1"/>
  <c r="B88" i="4"/>
  <c r="A88" i="4"/>
  <c r="C88" i="4" s="1"/>
  <c r="B88" i="3"/>
  <c r="A89" i="3"/>
  <c r="F92" i="9" l="1"/>
  <c r="G92" i="9" s="1"/>
  <c r="D92" i="9"/>
  <c r="E92" i="9"/>
  <c r="D89" i="8"/>
  <c r="A93" i="9"/>
  <c r="B93" i="9" s="1"/>
  <c r="D88" i="4"/>
  <c r="C91" i="9"/>
  <c r="A90" i="8"/>
  <c r="C90" i="8" s="1"/>
  <c r="C89" i="3"/>
  <c r="D89" i="3" s="1"/>
  <c r="B89" i="4"/>
  <c r="A89" i="4"/>
  <c r="C89" i="4" s="1"/>
  <c r="B89" i="3"/>
  <c r="A90" i="3"/>
  <c r="F93" i="9" l="1"/>
  <c r="G93" i="9" s="1"/>
  <c r="D93" i="9"/>
  <c r="E93" i="9"/>
  <c r="D90" i="8"/>
  <c r="A94" i="9"/>
  <c r="B94" i="9" s="1"/>
  <c r="D89" i="4"/>
  <c r="C92" i="9"/>
  <c r="A91" i="8"/>
  <c r="C91" i="8" s="1"/>
  <c r="C90" i="3"/>
  <c r="D90" i="3" s="1"/>
  <c r="B90" i="4"/>
  <c r="A90" i="4"/>
  <c r="C90" i="4" s="1"/>
  <c r="B90" i="3"/>
  <c r="A91" i="3"/>
  <c r="F94" i="9" l="1"/>
  <c r="G94" i="9" s="1"/>
  <c r="D94" i="9"/>
  <c r="E94" i="9"/>
  <c r="D91" i="8"/>
  <c r="A95" i="9"/>
  <c r="B95" i="9" s="1"/>
  <c r="D90" i="4"/>
  <c r="C93" i="9"/>
  <c r="A92" i="8"/>
  <c r="C92" i="8" s="1"/>
  <c r="C91" i="3"/>
  <c r="D91" i="3" s="1"/>
  <c r="B91" i="4"/>
  <c r="A91" i="4"/>
  <c r="C91" i="4" s="1"/>
  <c r="B91" i="3"/>
  <c r="A92" i="3"/>
  <c r="F95" i="9" l="1"/>
  <c r="G95" i="9" s="1"/>
  <c r="D95" i="9"/>
  <c r="E95" i="9"/>
  <c r="D92" i="8"/>
  <c r="A96" i="9"/>
  <c r="B96" i="9" s="1"/>
  <c r="D91" i="4"/>
  <c r="C94" i="9"/>
  <c r="A93" i="8"/>
  <c r="C93" i="8" s="1"/>
  <c r="C92" i="3"/>
  <c r="D92" i="3" s="1"/>
  <c r="B92" i="4"/>
  <c r="A92" i="4"/>
  <c r="C92" i="4" s="1"/>
  <c r="B92" i="3"/>
  <c r="A93" i="3"/>
  <c r="F96" i="9" l="1"/>
  <c r="G96" i="9" s="1"/>
  <c r="D96" i="9"/>
  <c r="E96" i="9"/>
  <c r="D93" i="8"/>
  <c r="A97" i="9"/>
  <c r="B97" i="9" s="1"/>
  <c r="D92" i="4"/>
  <c r="C95" i="9"/>
  <c r="A94" i="8"/>
  <c r="C94" i="8" s="1"/>
  <c r="C93" i="3"/>
  <c r="D93" i="3" s="1"/>
  <c r="B93" i="4"/>
  <c r="A93" i="4"/>
  <c r="C93" i="4" s="1"/>
  <c r="B93" i="3"/>
  <c r="A94" i="3"/>
  <c r="F97" i="9" l="1"/>
  <c r="G97" i="9" s="1"/>
  <c r="D97" i="9"/>
  <c r="E97" i="9"/>
  <c r="D94" i="8"/>
  <c r="A98" i="9"/>
  <c r="B98" i="9" s="1"/>
  <c r="D93" i="4"/>
  <c r="C96" i="9"/>
  <c r="A95" i="8"/>
  <c r="C95" i="8" s="1"/>
  <c r="C94" i="3"/>
  <c r="D94" i="3" s="1"/>
  <c r="B94" i="4"/>
  <c r="A94" i="4"/>
  <c r="C94" i="4" s="1"/>
  <c r="B94" i="3"/>
  <c r="A95" i="3"/>
  <c r="F98" i="9" l="1"/>
  <c r="G98" i="9" s="1"/>
  <c r="D98" i="9"/>
  <c r="E98" i="9"/>
  <c r="D95" i="8"/>
  <c r="A99" i="9"/>
  <c r="B99" i="9" s="1"/>
  <c r="D94" i="4"/>
  <c r="C97" i="9"/>
  <c r="A96" i="8"/>
  <c r="C96" i="8" s="1"/>
  <c r="C95" i="3"/>
  <c r="D95" i="3" s="1"/>
  <c r="B95" i="4"/>
  <c r="A95" i="4"/>
  <c r="C95" i="4" s="1"/>
  <c r="B95" i="3"/>
  <c r="A96" i="3"/>
  <c r="F99" i="9" l="1"/>
  <c r="G99" i="9" s="1"/>
  <c r="D99" i="9"/>
  <c r="E99" i="9"/>
  <c r="D96" i="8"/>
  <c r="A100" i="9"/>
  <c r="B100" i="9" s="1"/>
  <c r="D95" i="4"/>
  <c r="C98" i="9"/>
  <c r="A97" i="8"/>
  <c r="C97" i="8" s="1"/>
  <c r="C96" i="3"/>
  <c r="D96" i="3" s="1"/>
  <c r="B96" i="4"/>
  <c r="A96" i="4"/>
  <c r="C96" i="4" s="1"/>
  <c r="B96" i="3"/>
  <c r="A97" i="3"/>
  <c r="F100" i="9" l="1"/>
  <c r="G100" i="9" s="1"/>
  <c r="D100" i="9"/>
  <c r="E100" i="9"/>
  <c r="D97" i="8"/>
  <c r="A101" i="9"/>
  <c r="B101" i="9" s="1"/>
  <c r="D96" i="4"/>
  <c r="C99" i="9"/>
  <c r="A98" i="8"/>
  <c r="C98" i="8" s="1"/>
  <c r="C97" i="3"/>
  <c r="D97" i="3" s="1"/>
  <c r="B97" i="4"/>
  <c r="A97" i="4"/>
  <c r="C97" i="4" s="1"/>
  <c r="B97" i="3"/>
  <c r="A98" i="3"/>
  <c r="F101" i="9" l="1"/>
  <c r="G101" i="9" s="1"/>
  <c r="D101" i="9"/>
  <c r="E101" i="9"/>
  <c r="D98" i="8"/>
  <c r="A102" i="9"/>
  <c r="B102" i="9" s="1"/>
  <c r="D97" i="4"/>
  <c r="C100" i="9"/>
  <c r="A99" i="8"/>
  <c r="C99" i="8" s="1"/>
  <c r="C98" i="3"/>
  <c r="D98" i="3" s="1"/>
  <c r="B98" i="4"/>
  <c r="A98" i="4"/>
  <c r="C98" i="4" s="1"/>
  <c r="B98" i="3"/>
  <c r="A99" i="3"/>
  <c r="F102" i="9" l="1"/>
  <c r="G102" i="9" s="1"/>
  <c r="D102" i="9"/>
  <c r="E102" i="9"/>
  <c r="D99" i="8"/>
  <c r="A103" i="9"/>
  <c r="B103" i="9" s="1"/>
  <c r="D98" i="4"/>
  <c r="C101" i="9"/>
  <c r="A100" i="8"/>
  <c r="C100" i="8" s="1"/>
  <c r="C99" i="3"/>
  <c r="D99" i="3" s="1"/>
  <c r="B99" i="4"/>
  <c r="A99" i="4"/>
  <c r="C99" i="4" s="1"/>
  <c r="B99" i="3"/>
  <c r="A100" i="3"/>
  <c r="F103" i="9" l="1"/>
  <c r="G103" i="9" s="1"/>
  <c r="D103" i="9"/>
  <c r="E103" i="9"/>
  <c r="D100" i="8"/>
  <c r="A104" i="9"/>
  <c r="B104" i="9" s="1"/>
  <c r="D99" i="4"/>
  <c r="C102" i="9"/>
  <c r="A101" i="8"/>
  <c r="C101" i="8" s="1"/>
  <c r="C100" i="3"/>
  <c r="D100" i="3" s="1"/>
  <c r="B100" i="4"/>
  <c r="A100" i="4"/>
  <c r="C100" i="4" s="1"/>
  <c r="B100" i="3"/>
  <c r="A101" i="3"/>
  <c r="F104" i="9" l="1"/>
  <c r="G104" i="9" s="1"/>
  <c r="D104" i="9"/>
  <c r="E104" i="9"/>
  <c r="D101" i="8"/>
  <c r="A105" i="9"/>
  <c r="B105" i="9" s="1"/>
  <c r="D100" i="4"/>
  <c r="C103" i="9"/>
  <c r="A102" i="8"/>
  <c r="C102" i="8" s="1"/>
  <c r="C101" i="3"/>
  <c r="D101" i="3" s="1"/>
  <c r="B101" i="4"/>
  <c r="A101" i="4"/>
  <c r="C101" i="4" s="1"/>
  <c r="B101" i="3"/>
  <c r="A102" i="3"/>
  <c r="F105" i="9" l="1"/>
  <c r="G105" i="9" s="1"/>
  <c r="D105" i="9"/>
  <c r="E105" i="9"/>
  <c r="D102" i="8"/>
  <c r="A106" i="9"/>
  <c r="B106" i="9" s="1"/>
  <c r="D101" i="4"/>
  <c r="C104" i="9"/>
  <c r="A103" i="8"/>
  <c r="C103" i="8" s="1"/>
  <c r="C102" i="3"/>
  <c r="D102" i="3" s="1"/>
  <c r="B102" i="4"/>
  <c r="A102" i="4"/>
  <c r="C102" i="4" s="1"/>
  <c r="F8" i="2"/>
  <c r="B102" i="3"/>
  <c r="F106" i="9" l="1"/>
  <c r="G106" i="9" s="1"/>
  <c r="D106" i="9"/>
  <c r="E106" i="9"/>
  <c r="D103" i="8"/>
  <c r="A107" i="9"/>
  <c r="B107" i="9" s="1"/>
  <c r="D102" i="4"/>
  <c r="F11" i="2" s="1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C105" i="9"/>
  <c r="F15" i="2"/>
  <c r="F9" i="2"/>
  <c r="F10" i="2"/>
  <c r="F107" i="9" l="1"/>
  <c r="G107" i="9" s="1"/>
  <c r="D107" i="9"/>
  <c r="E107" i="9"/>
  <c r="A108" i="9"/>
  <c r="B108" i="9" s="1"/>
  <c r="C106" i="9"/>
  <c r="F108" i="9" l="1"/>
  <c r="G108" i="9" s="1"/>
  <c r="D108" i="9"/>
  <c r="E108" i="9"/>
  <c r="A109" i="9"/>
  <c r="B109" i="9" s="1"/>
  <c r="C107" i="9"/>
  <c r="F109" i="9" l="1"/>
  <c r="G109" i="9" s="1"/>
  <c r="D109" i="9"/>
  <c r="E109" i="9"/>
  <c r="A110" i="9"/>
  <c r="B110" i="9" s="1"/>
  <c r="C108" i="9"/>
  <c r="F110" i="9" l="1"/>
  <c r="G110" i="9" s="1"/>
  <c r="D110" i="9"/>
  <c r="E110" i="9"/>
  <c r="A111" i="9"/>
  <c r="B111" i="9" s="1"/>
  <c r="C109" i="9"/>
  <c r="F111" i="9" l="1"/>
  <c r="G111" i="9" s="1"/>
  <c r="D111" i="9"/>
  <c r="E111" i="9"/>
  <c r="A112" i="9"/>
  <c r="B112" i="9" s="1"/>
  <c r="C110" i="9"/>
  <c r="F112" i="9" l="1"/>
  <c r="G112" i="9" s="1"/>
  <c r="D112" i="9"/>
  <c r="E112" i="9"/>
  <c r="A113" i="9"/>
  <c r="B113" i="9" s="1"/>
  <c r="C111" i="9"/>
  <c r="F113" i="9" l="1"/>
  <c r="G113" i="9" s="1"/>
  <c r="D113" i="9"/>
  <c r="E113" i="9"/>
  <c r="A114" i="9"/>
  <c r="B114" i="9" s="1"/>
  <c r="C112" i="9"/>
  <c r="F114" i="9" l="1"/>
  <c r="G114" i="9" s="1"/>
  <c r="D114" i="9"/>
  <c r="E114" i="9"/>
  <c r="A115" i="9"/>
  <c r="B115" i="9" s="1"/>
  <c r="C113" i="9"/>
  <c r="F115" i="9" l="1"/>
  <c r="G115" i="9" s="1"/>
  <c r="D115" i="9"/>
  <c r="E115" i="9"/>
  <c r="A116" i="9"/>
  <c r="B116" i="9" s="1"/>
  <c r="C114" i="9"/>
  <c r="F116" i="9" l="1"/>
  <c r="G116" i="9" s="1"/>
  <c r="D116" i="9"/>
  <c r="E116" i="9"/>
  <c r="A117" i="9"/>
  <c r="B117" i="9" s="1"/>
  <c r="C115" i="9"/>
  <c r="F117" i="9" l="1"/>
  <c r="G117" i="9" s="1"/>
  <c r="D117" i="9"/>
  <c r="E117" i="9"/>
  <c r="A118" i="9"/>
  <c r="B118" i="9" s="1"/>
  <c r="C116" i="9"/>
  <c r="F118" i="9" l="1"/>
  <c r="G118" i="9" s="1"/>
  <c r="D118" i="9"/>
  <c r="E118" i="9"/>
  <c r="A119" i="9"/>
  <c r="B119" i="9" s="1"/>
  <c r="C117" i="9"/>
  <c r="F119" i="9" l="1"/>
  <c r="G119" i="9" s="1"/>
  <c r="D119" i="9"/>
  <c r="E119" i="9"/>
  <c r="A120" i="9"/>
  <c r="B120" i="9" s="1"/>
  <c r="C118" i="9"/>
  <c r="F120" i="9" l="1"/>
  <c r="G120" i="9" s="1"/>
  <c r="D120" i="9"/>
  <c r="E120" i="9"/>
  <c r="A121" i="9"/>
  <c r="B121" i="9" s="1"/>
  <c r="C119" i="9"/>
  <c r="F121" i="9" l="1"/>
  <c r="G121" i="9" s="1"/>
  <c r="D121" i="9"/>
  <c r="E121" i="9"/>
  <c r="A122" i="9"/>
  <c r="B122" i="9" s="1"/>
  <c r="C120" i="9"/>
  <c r="F122" i="9" l="1"/>
  <c r="G122" i="9" s="1"/>
  <c r="D122" i="9"/>
  <c r="E122" i="9"/>
  <c r="A123" i="9"/>
  <c r="B123" i="9" s="1"/>
  <c r="C121" i="9"/>
  <c r="F123" i="9" l="1"/>
  <c r="G123" i="9" s="1"/>
  <c r="D123" i="9"/>
  <c r="E123" i="9"/>
  <c r="A124" i="9"/>
  <c r="B124" i="9" s="1"/>
  <c r="C122" i="9"/>
  <c r="F124" i="9" l="1"/>
  <c r="G124" i="9" s="1"/>
  <c r="D124" i="9"/>
  <c r="E124" i="9"/>
  <c r="A125" i="9"/>
  <c r="B125" i="9" s="1"/>
  <c r="C123" i="9"/>
  <c r="F125" i="9" l="1"/>
  <c r="G125" i="9" s="1"/>
  <c r="D125" i="9"/>
  <c r="E125" i="9"/>
  <c r="A126" i="9"/>
  <c r="B126" i="9" s="1"/>
  <c r="C124" i="9"/>
  <c r="F126" i="9" l="1"/>
  <c r="G126" i="9" s="1"/>
  <c r="D126" i="9"/>
  <c r="E126" i="9"/>
  <c r="A127" i="9"/>
  <c r="B127" i="9" s="1"/>
  <c r="C125" i="9"/>
  <c r="F127" i="9" l="1"/>
  <c r="G127" i="9" s="1"/>
  <c r="D127" i="9"/>
  <c r="E127" i="9"/>
  <c r="A128" i="9"/>
  <c r="B128" i="9" s="1"/>
  <c r="C126" i="9"/>
  <c r="F128" i="9" l="1"/>
  <c r="G128" i="9" s="1"/>
  <c r="D128" i="9"/>
  <c r="E128" i="9"/>
  <c r="A129" i="9"/>
  <c r="B129" i="9" s="1"/>
  <c r="C127" i="9"/>
  <c r="F129" i="9" l="1"/>
  <c r="G129" i="9" s="1"/>
  <c r="D129" i="9"/>
  <c r="E129" i="9"/>
  <c r="A130" i="9"/>
  <c r="B130" i="9" s="1"/>
  <c r="C128" i="9"/>
  <c r="F130" i="9" l="1"/>
  <c r="G130" i="9" s="1"/>
  <c r="D130" i="9"/>
  <c r="E130" i="9"/>
  <c r="A131" i="9"/>
  <c r="B131" i="9" s="1"/>
  <c r="C129" i="9"/>
  <c r="F131" i="9" l="1"/>
  <c r="G131" i="9" s="1"/>
  <c r="D131" i="9"/>
  <c r="E131" i="9"/>
  <c r="A132" i="9"/>
  <c r="B132" i="9" s="1"/>
  <c r="C130" i="9"/>
  <c r="F132" i="9" l="1"/>
  <c r="G132" i="9" s="1"/>
  <c r="D132" i="9"/>
  <c r="E132" i="9"/>
  <c r="A133" i="9"/>
  <c r="B133" i="9" s="1"/>
  <c r="C131" i="9"/>
  <c r="F133" i="9" l="1"/>
  <c r="G133" i="9" s="1"/>
  <c r="D133" i="9"/>
  <c r="E133" i="9"/>
  <c r="A134" i="9"/>
  <c r="B134" i="9" s="1"/>
  <c r="C132" i="9"/>
  <c r="F134" i="9" l="1"/>
  <c r="G134" i="9" s="1"/>
  <c r="D134" i="9"/>
  <c r="E134" i="9"/>
  <c r="A135" i="9"/>
  <c r="B135" i="9" s="1"/>
  <c r="C133" i="9"/>
  <c r="F135" i="9" l="1"/>
  <c r="G135" i="9" s="1"/>
  <c r="D135" i="9"/>
  <c r="E135" i="9"/>
  <c r="A136" i="9"/>
  <c r="B136" i="9" s="1"/>
  <c r="C134" i="9"/>
  <c r="F136" i="9" l="1"/>
  <c r="G136" i="9" s="1"/>
  <c r="D136" i="9"/>
  <c r="E136" i="9"/>
  <c r="A137" i="9"/>
  <c r="B137" i="9" s="1"/>
  <c r="C135" i="9"/>
  <c r="F137" i="9" l="1"/>
  <c r="G137" i="9" s="1"/>
  <c r="D137" i="9"/>
  <c r="E137" i="9"/>
  <c r="A138" i="9"/>
  <c r="B138" i="9" s="1"/>
  <c r="C136" i="9"/>
  <c r="F138" i="9" l="1"/>
  <c r="G138" i="9" s="1"/>
  <c r="D138" i="9"/>
  <c r="E138" i="9"/>
  <c r="A139" i="9"/>
  <c r="B139" i="9" s="1"/>
  <c r="C137" i="9"/>
  <c r="F139" i="9" l="1"/>
  <c r="G139" i="9" s="1"/>
  <c r="D139" i="9"/>
  <c r="E139" i="9"/>
  <c r="A140" i="9"/>
  <c r="B140" i="9" s="1"/>
  <c r="C138" i="9"/>
  <c r="F140" i="9" l="1"/>
  <c r="G140" i="9" s="1"/>
  <c r="D140" i="9"/>
  <c r="E140" i="9"/>
  <c r="A141" i="9"/>
  <c r="B141" i="9" s="1"/>
  <c r="C139" i="9"/>
  <c r="F141" i="9" l="1"/>
  <c r="G141" i="9" s="1"/>
  <c r="D141" i="9"/>
  <c r="E141" i="9"/>
  <c r="A142" i="9"/>
  <c r="B142" i="9" s="1"/>
  <c r="C140" i="9"/>
  <c r="F142" i="9" l="1"/>
  <c r="G142" i="9" s="1"/>
  <c r="D142" i="9"/>
  <c r="E142" i="9"/>
  <c r="A143" i="9"/>
  <c r="B143" i="9" s="1"/>
  <c r="C141" i="9"/>
  <c r="F143" i="9" l="1"/>
  <c r="G143" i="9" s="1"/>
  <c r="D143" i="9"/>
  <c r="E143" i="9"/>
  <c r="A144" i="9"/>
  <c r="B144" i="9" s="1"/>
  <c r="C142" i="9"/>
  <c r="F144" i="9" l="1"/>
  <c r="G144" i="9" s="1"/>
  <c r="D144" i="9"/>
  <c r="E144" i="9"/>
  <c r="A145" i="9"/>
  <c r="B145" i="9" s="1"/>
  <c r="C143" i="9"/>
  <c r="F145" i="9" l="1"/>
  <c r="G145" i="9" s="1"/>
  <c r="D145" i="9"/>
  <c r="E145" i="9"/>
  <c r="A146" i="9"/>
  <c r="B146" i="9" s="1"/>
  <c r="C144" i="9"/>
  <c r="F146" i="9" l="1"/>
  <c r="G146" i="9" s="1"/>
  <c r="D146" i="9"/>
  <c r="E146" i="9"/>
  <c r="A147" i="9"/>
  <c r="B147" i="9" s="1"/>
  <c r="C145" i="9"/>
  <c r="F147" i="9" l="1"/>
  <c r="G147" i="9" s="1"/>
  <c r="D147" i="9"/>
  <c r="E147" i="9"/>
  <c r="A148" i="9"/>
  <c r="B148" i="9" s="1"/>
  <c r="C146" i="9"/>
  <c r="F148" i="9" l="1"/>
  <c r="G148" i="9" s="1"/>
  <c r="D148" i="9"/>
  <c r="E148" i="9"/>
  <c r="A149" i="9"/>
  <c r="B149" i="9" s="1"/>
  <c r="C147" i="9"/>
  <c r="F149" i="9" l="1"/>
  <c r="G149" i="9" s="1"/>
  <c r="D149" i="9"/>
  <c r="E149" i="9"/>
  <c r="A150" i="9"/>
  <c r="B150" i="9" s="1"/>
  <c r="C148" i="9"/>
  <c r="F150" i="9" l="1"/>
  <c r="G150" i="9" s="1"/>
  <c r="D150" i="9"/>
  <c r="E150" i="9"/>
  <c r="A151" i="9"/>
  <c r="B151" i="9" s="1"/>
  <c r="C149" i="9"/>
  <c r="F151" i="9" l="1"/>
  <c r="G151" i="9" s="1"/>
  <c r="D151" i="9"/>
  <c r="E151" i="9"/>
  <c r="A152" i="9"/>
  <c r="B152" i="9" s="1"/>
  <c r="C150" i="9"/>
  <c r="F152" i="9" l="1"/>
  <c r="G152" i="9" s="1"/>
  <c r="D152" i="9"/>
  <c r="E152" i="9"/>
  <c r="A153" i="9"/>
  <c r="B153" i="9" s="1"/>
  <c r="C151" i="9"/>
  <c r="F153" i="9" l="1"/>
  <c r="G153" i="9" s="1"/>
  <c r="D153" i="9"/>
  <c r="E153" i="9"/>
  <c r="A154" i="9"/>
  <c r="B154" i="9" s="1"/>
  <c r="C152" i="9"/>
  <c r="F154" i="9" l="1"/>
  <c r="G154" i="9" s="1"/>
  <c r="D154" i="9"/>
  <c r="E154" i="9"/>
  <c r="A155" i="9"/>
  <c r="B155" i="9" s="1"/>
  <c r="C153" i="9"/>
  <c r="F155" i="9" l="1"/>
  <c r="G155" i="9" s="1"/>
  <c r="D155" i="9"/>
  <c r="E155" i="9"/>
  <c r="A156" i="9"/>
  <c r="B156" i="9" s="1"/>
  <c r="C154" i="9"/>
  <c r="F156" i="9" l="1"/>
  <c r="G156" i="9" s="1"/>
  <c r="D156" i="9"/>
  <c r="E156" i="9"/>
  <c r="A157" i="9"/>
  <c r="B157" i="9" s="1"/>
  <c r="C155" i="9"/>
  <c r="F157" i="9" l="1"/>
  <c r="G157" i="9" s="1"/>
  <c r="D157" i="9"/>
  <c r="E157" i="9"/>
  <c r="A158" i="9"/>
  <c r="B158" i="9" s="1"/>
  <c r="C156" i="9"/>
  <c r="F158" i="9" l="1"/>
  <c r="G158" i="9" s="1"/>
  <c r="D158" i="9"/>
  <c r="E158" i="9"/>
  <c r="A159" i="9"/>
  <c r="B159" i="9" s="1"/>
  <c r="C157" i="9"/>
  <c r="F159" i="9" l="1"/>
  <c r="G159" i="9" s="1"/>
  <c r="D159" i="9"/>
  <c r="E159" i="9"/>
  <c r="A160" i="9"/>
  <c r="B160" i="9" s="1"/>
  <c r="C158" i="9"/>
  <c r="F160" i="9" l="1"/>
  <c r="G160" i="9" s="1"/>
  <c r="D160" i="9"/>
  <c r="E160" i="9"/>
  <c r="A161" i="9"/>
  <c r="B161" i="9" s="1"/>
  <c r="C159" i="9"/>
  <c r="F161" i="9" l="1"/>
  <c r="G161" i="9" s="1"/>
  <c r="D161" i="9"/>
  <c r="E161" i="9"/>
  <c r="A162" i="9"/>
  <c r="B162" i="9" s="1"/>
  <c r="C160" i="9"/>
  <c r="F162" i="9" l="1"/>
  <c r="G162" i="9" s="1"/>
  <c r="D162" i="9"/>
  <c r="E162" i="9"/>
  <c r="A163" i="9"/>
  <c r="B163" i="9" s="1"/>
  <c r="C161" i="9"/>
  <c r="F163" i="9" l="1"/>
  <c r="G163" i="9" s="1"/>
  <c r="D163" i="9"/>
  <c r="E163" i="9"/>
  <c r="A164" i="9"/>
  <c r="B164" i="9" s="1"/>
  <c r="C162" i="9"/>
  <c r="F164" i="9" l="1"/>
  <c r="G164" i="9" s="1"/>
  <c r="D164" i="9"/>
  <c r="E164" i="9"/>
  <c r="A165" i="9"/>
  <c r="B165" i="9" s="1"/>
  <c r="C163" i="9"/>
  <c r="F165" i="9" l="1"/>
  <c r="G165" i="9" s="1"/>
  <c r="D165" i="9"/>
  <c r="E165" i="9"/>
  <c r="A166" i="9"/>
  <c r="B166" i="9" s="1"/>
  <c r="C164" i="9"/>
  <c r="F166" i="9" l="1"/>
  <c r="G166" i="9" s="1"/>
  <c r="D166" i="9"/>
  <c r="E166" i="9"/>
  <c r="A167" i="9"/>
  <c r="B167" i="9" s="1"/>
  <c r="C165" i="9"/>
  <c r="F167" i="9" l="1"/>
  <c r="G167" i="9" s="1"/>
  <c r="D167" i="9"/>
  <c r="E167" i="9"/>
  <c r="A168" i="9"/>
  <c r="B168" i="9" s="1"/>
  <c r="C166" i="9"/>
  <c r="F168" i="9" l="1"/>
  <c r="G168" i="9" s="1"/>
  <c r="D168" i="9"/>
  <c r="E168" i="9"/>
  <c r="A169" i="9"/>
  <c r="B169" i="9" s="1"/>
  <c r="C167" i="9"/>
  <c r="F169" i="9" l="1"/>
  <c r="G169" i="9" s="1"/>
  <c r="D169" i="9"/>
  <c r="E169" i="9"/>
  <c r="A170" i="9"/>
  <c r="B170" i="9" s="1"/>
  <c r="C168" i="9"/>
  <c r="F170" i="9" l="1"/>
  <c r="G170" i="9" s="1"/>
  <c r="D170" i="9"/>
  <c r="E170" i="9"/>
  <c r="A171" i="9"/>
  <c r="B171" i="9" s="1"/>
  <c r="C169" i="9"/>
  <c r="F171" i="9" l="1"/>
  <c r="G171" i="9" s="1"/>
  <c r="D171" i="9"/>
  <c r="E171" i="9"/>
  <c r="A172" i="9"/>
  <c r="B172" i="9" s="1"/>
  <c r="C170" i="9"/>
  <c r="F172" i="9" l="1"/>
  <c r="G172" i="9" s="1"/>
  <c r="D172" i="9"/>
  <c r="E172" i="9"/>
  <c r="A173" i="9"/>
  <c r="B173" i="9" s="1"/>
  <c r="C171" i="9"/>
  <c r="F173" i="9" l="1"/>
  <c r="G173" i="9" s="1"/>
  <c r="D173" i="9"/>
  <c r="E173" i="9"/>
  <c r="A174" i="9"/>
  <c r="B174" i="9" s="1"/>
  <c r="C172" i="9"/>
  <c r="F174" i="9" l="1"/>
  <c r="G174" i="9" s="1"/>
  <c r="D174" i="9"/>
  <c r="E174" i="9"/>
  <c r="A175" i="9"/>
  <c r="B175" i="9" s="1"/>
  <c r="C173" i="9"/>
  <c r="F175" i="9" l="1"/>
  <c r="G175" i="9" s="1"/>
  <c r="D175" i="9"/>
  <c r="E175" i="9"/>
  <c r="A176" i="9"/>
  <c r="B176" i="9" s="1"/>
  <c r="C174" i="9"/>
  <c r="F176" i="9" l="1"/>
  <c r="G176" i="9" s="1"/>
  <c r="D176" i="9"/>
  <c r="E176" i="9"/>
  <c r="A177" i="9"/>
  <c r="B177" i="9" s="1"/>
  <c r="C175" i="9"/>
  <c r="F177" i="9" l="1"/>
  <c r="G177" i="9" s="1"/>
  <c r="D177" i="9"/>
  <c r="E177" i="9"/>
  <c r="A178" i="9"/>
  <c r="B178" i="9" s="1"/>
  <c r="C176" i="9"/>
  <c r="F178" i="9" l="1"/>
  <c r="G178" i="9" s="1"/>
  <c r="D178" i="9"/>
  <c r="E178" i="9"/>
  <c r="A179" i="9"/>
  <c r="B179" i="9" s="1"/>
  <c r="C177" i="9"/>
  <c r="F179" i="9" l="1"/>
  <c r="G179" i="9" s="1"/>
  <c r="D179" i="9"/>
  <c r="E179" i="9"/>
  <c r="A180" i="9"/>
  <c r="B180" i="9" s="1"/>
  <c r="C178" i="9"/>
  <c r="F180" i="9" l="1"/>
  <c r="G180" i="9" s="1"/>
  <c r="D180" i="9"/>
  <c r="E180" i="9"/>
  <c r="A181" i="9"/>
  <c r="B181" i="9" s="1"/>
  <c r="C179" i="9"/>
  <c r="F181" i="9" l="1"/>
  <c r="G181" i="9" s="1"/>
  <c r="D181" i="9"/>
  <c r="E181" i="9"/>
  <c r="A182" i="9"/>
  <c r="B182" i="9" s="1"/>
  <c r="C180" i="9"/>
  <c r="F182" i="9" l="1"/>
  <c r="G182" i="9" s="1"/>
  <c r="D182" i="9"/>
  <c r="E182" i="9"/>
  <c r="A183" i="9"/>
  <c r="B183" i="9" s="1"/>
  <c r="C181" i="9"/>
  <c r="F183" i="9" l="1"/>
  <c r="G183" i="9" s="1"/>
  <c r="D183" i="9"/>
  <c r="E183" i="9"/>
  <c r="A184" i="9"/>
  <c r="B184" i="9" s="1"/>
  <c r="C182" i="9"/>
  <c r="F184" i="9" l="1"/>
  <c r="G184" i="9" s="1"/>
  <c r="D184" i="9"/>
  <c r="E184" i="9"/>
  <c r="A185" i="9"/>
  <c r="B185" i="9" s="1"/>
  <c r="C183" i="9"/>
  <c r="F185" i="9" l="1"/>
  <c r="G185" i="9" s="1"/>
  <c r="D185" i="9"/>
  <c r="E185" i="9"/>
  <c r="A186" i="9"/>
  <c r="B186" i="9" s="1"/>
  <c r="C184" i="9"/>
  <c r="F186" i="9" l="1"/>
  <c r="G186" i="9" s="1"/>
  <c r="D186" i="9"/>
  <c r="E186" i="9"/>
  <c r="A187" i="9"/>
  <c r="B187" i="9" s="1"/>
  <c r="C185" i="9"/>
  <c r="F187" i="9" l="1"/>
  <c r="G187" i="9" s="1"/>
  <c r="D187" i="9"/>
  <c r="E187" i="9"/>
  <c r="A188" i="9"/>
  <c r="B188" i="9" s="1"/>
  <c r="C186" i="9"/>
  <c r="F188" i="9" l="1"/>
  <c r="G188" i="9" s="1"/>
  <c r="D188" i="9"/>
  <c r="E188" i="9"/>
  <c r="A189" i="9"/>
  <c r="B189" i="9" s="1"/>
  <c r="C187" i="9"/>
  <c r="F189" i="9" l="1"/>
  <c r="G189" i="9" s="1"/>
  <c r="D189" i="9"/>
  <c r="E189" i="9"/>
  <c r="A190" i="9"/>
  <c r="B190" i="9" s="1"/>
  <c r="C188" i="9"/>
  <c r="F190" i="9" l="1"/>
  <c r="G190" i="9" s="1"/>
  <c r="D190" i="9"/>
  <c r="E190" i="9"/>
  <c r="A191" i="9"/>
  <c r="B191" i="9" s="1"/>
  <c r="C189" i="9"/>
  <c r="F191" i="9" l="1"/>
  <c r="G191" i="9" s="1"/>
  <c r="D191" i="9"/>
  <c r="E191" i="9"/>
  <c r="A192" i="9"/>
  <c r="B192" i="9" s="1"/>
  <c r="C190" i="9"/>
  <c r="F192" i="9" l="1"/>
  <c r="G192" i="9" s="1"/>
  <c r="D192" i="9"/>
  <c r="E192" i="9"/>
  <c r="A193" i="9"/>
  <c r="B193" i="9" s="1"/>
  <c r="C191" i="9"/>
  <c r="F193" i="9" l="1"/>
  <c r="G193" i="9" s="1"/>
  <c r="D193" i="9"/>
  <c r="E193" i="9"/>
  <c r="A194" i="9"/>
  <c r="B194" i="9" s="1"/>
  <c r="C192" i="9"/>
  <c r="F194" i="9" l="1"/>
  <c r="G194" i="9" s="1"/>
  <c r="D194" i="9"/>
  <c r="E194" i="9"/>
  <c r="A195" i="9"/>
  <c r="B195" i="9" s="1"/>
  <c r="C193" i="9"/>
  <c r="F195" i="9" l="1"/>
  <c r="G195" i="9" s="1"/>
  <c r="D195" i="9"/>
  <c r="E195" i="9"/>
  <c r="A196" i="9"/>
  <c r="B196" i="9" s="1"/>
  <c r="C194" i="9"/>
  <c r="F196" i="9" l="1"/>
  <c r="G196" i="9" s="1"/>
  <c r="D196" i="9"/>
  <c r="E196" i="9"/>
  <c r="A197" i="9"/>
  <c r="B197" i="9" s="1"/>
  <c r="C195" i="9"/>
  <c r="F197" i="9" l="1"/>
  <c r="G197" i="9" s="1"/>
  <c r="D197" i="9"/>
  <c r="E197" i="9"/>
  <c r="A198" i="9"/>
  <c r="B198" i="9" s="1"/>
  <c r="C196" i="9"/>
  <c r="F198" i="9" l="1"/>
  <c r="G198" i="9" s="1"/>
  <c r="D198" i="9"/>
  <c r="E198" i="9"/>
  <c r="A199" i="9"/>
  <c r="B199" i="9" s="1"/>
  <c r="C197" i="9"/>
  <c r="F199" i="9" l="1"/>
  <c r="G199" i="9" s="1"/>
  <c r="D199" i="9"/>
  <c r="E199" i="9"/>
  <c r="A200" i="9"/>
  <c r="B200" i="9" s="1"/>
  <c r="C198" i="9"/>
  <c r="F200" i="9" l="1"/>
  <c r="G200" i="9" s="1"/>
  <c r="D200" i="9"/>
  <c r="E200" i="9"/>
  <c r="A201" i="9"/>
  <c r="B201" i="9" s="1"/>
  <c r="C199" i="9"/>
  <c r="F201" i="9" l="1"/>
  <c r="G201" i="9" s="1"/>
  <c r="D201" i="9"/>
  <c r="E201" i="9"/>
  <c r="A202" i="9"/>
  <c r="B202" i="9" s="1"/>
  <c r="C200" i="9"/>
  <c r="D202" i="9" l="1"/>
  <c r="E202" i="9"/>
  <c r="F202" i="9"/>
  <c r="G202" i="9" s="1"/>
  <c r="C201" i="9"/>
  <c r="C202" i="9" l="1"/>
  <c r="F17" i="2" l="1"/>
</calcChain>
</file>

<file path=xl/comments1.xml><?xml version="1.0" encoding="utf-8"?>
<comments xmlns="http://schemas.openxmlformats.org/spreadsheetml/2006/main">
  <authors>
    <author>Author</author>
  </authors>
  <commentList>
    <comment ref="B7" authorId="0" shapeId="0">
      <text>
        <r>
          <rPr>
            <sz val="16"/>
            <color indexed="81"/>
            <rFont val="Tahoma"/>
            <family val="2"/>
          </rPr>
          <t>Omar:
0 is True
1 is False</t>
        </r>
      </text>
    </comment>
    <comment ref="B11" authorId="0" shapeId="0">
      <text>
        <r>
          <rPr>
            <sz val="14"/>
            <color indexed="81"/>
            <rFont val="Tahoma"/>
            <family val="2"/>
          </rPr>
          <t>Omar:
Note that a negative input will have
deflationary effects!</t>
        </r>
      </text>
    </comment>
    <comment ref="F17" authorId="0" shapeId="0">
      <text>
        <r>
          <rPr>
            <sz val="16"/>
            <color indexed="81"/>
            <rFont val="Tahoma"/>
            <family val="2"/>
          </rPr>
          <t>Notes for depletion model:
1) This cell is only relevant for depletion model
2) Model only works if sheet is unprotected
3) If the Depletion Model macro gives a compile error, go to the VisualBasicEnvironment, then from the toolbar: Click: tools --&gt; References and then check the "Solver" checkbox
Or you can just do the solver formula manually it manually</t>
        </r>
      </text>
    </comment>
  </commentList>
</comments>
</file>

<file path=xl/sharedStrings.xml><?xml version="1.0" encoding="utf-8"?>
<sst xmlns="http://schemas.openxmlformats.org/spreadsheetml/2006/main" count="71" uniqueCount="48">
  <si>
    <t>Years till retirement</t>
  </si>
  <si>
    <t>Yearly profit rate after tax</t>
  </si>
  <si>
    <t>Year</t>
  </si>
  <si>
    <t>FV</t>
  </si>
  <si>
    <t>Nominal Future Balance at end of year</t>
  </si>
  <si>
    <t>Real Future Balance at end of year</t>
  </si>
  <si>
    <t>Discount rate (Default: US treasury 1 year bond yeild)</t>
  </si>
  <si>
    <t>Expected inflation rate</t>
  </si>
  <si>
    <t>Retirement Age (30-120)</t>
  </si>
  <si>
    <t>Current Age (20-70)</t>
  </si>
  <si>
    <t>Total end future balance needed for the required annuity</t>
  </si>
  <si>
    <t>---</t>
  </si>
  <si>
    <t>----</t>
  </si>
  <si>
    <t>Starting year</t>
  </si>
  <si>
    <t>Period</t>
  </si>
  <si>
    <t>-----</t>
  </si>
  <si>
    <t>Age Input</t>
  </si>
  <si>
    <t>Ratios Input</t>
  </si>
  <si>
    <t>Calculated Parameters</t>
  </si>
  <si>
    <t>Outcome</t>
  </si>
  <si>
    <t>Annual Payments Required till Retirement</t>
  </si>
  <si>
    <t>Expected real rate of return (Fishcher's formula)</t>
  </si>
  <si>
    <t>Retirement Duration In Years (5-100)</t>
  </si>
  <si>
    <t>Real Retirement Incomes</t>
  </si>
  <si>
    <t>Expected retirement year</t>
  </si>
  <si>
    <t>Expected end of retirement year</t>
  </si>
  <si>
    <t>Average Real yearly income at retirement year</t>
  </si>
  <si>
    <t>Real Value</t>
  </si>
  <si>
    <t>Nominal Value</t>
  </si>
  <si>
    <t>Balance</t>
  </si>
  <si>
    <t>Withdrawals</t>
  </si>
  <si>
    <t>Retirement Period</t>
  </si>
  <si>
    <t>Remaining Balance After Withdrawal</t>
  </si>
  <si>
    <t>Depletion Model (End of year) (Max 200 years)</t>
  </si>
  <si>
    <t>End of</t>
  </si>
  <si>
    <t>Desired Yearly income at beginning of year</t>
  </si>
  <si>
    <t>Total nominal FV of future balance at retirement year</t>
  </si>
  <si>
    <t>Total real FV of future balance at retirement year</t>
  </si>
  <si>
    <t>Remaining Balance (Depletion model)</t>
  </si>
  <si>
    <t>Payment at end of year (Only for the annuity model)</t>
  </si>
  <si>
    <t>Interest</t>
  </si>
  <si>
    <t>Only relevant for depletion model</t>
  </si>
  <si>
    <t>Yearly retirement annuity adjusted to inflation</t>
  </si>
  <si>
    <t>Relevant for both models</t>
  </si>
  <si>
    <t>Only relevant for annuity model</t>
  </si>
  <si>
    <t>Total nominal PV of future balance at retirement year</t>
  </si>
  <si>
    <t>Total real PV of future balance at retirement year</t>
  </si>
  <si>
    <t>PV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</si>
</sst>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6" formatCode="&quot;$&quot;#,##0_);[Red]\(&quot;$&quot;#,##0\)"/>
    <numFmt numFmtId="8" formatCode="&quot;$&quot;#,##0.00_);[Red]\(&quot;$&quot;#,##0.00\)"/>
    <numFmt numFmtId="164" formatCode="&quot;$&quot;#,##0"/>
  </numFmts>
  <fonts count="15" x14ac:knownFonts="1">
    <font>
      <sz val="11"/>
      <color theme="1"/>
      <name val="Corbel"/>
      <family val="2"/>
      <scheme val="minor"/>
    </font>
    <font>
      <b/>
      <sz val="22"/>
      <color theme="8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name val="Times New Roman"/>
      <family val="1"/>
    </font>
    <font>
      <b/>
      <sz val="20"/>
      <color rgb="FF000000"/>
      <name val="Corbel"/>
      <family val="2"/>
    </font>
    <font>
      <b/>
      <sz val="14"/>
      <color rgb="FF000000"/>
      <name val="Times New Roman"/>
      <family val="1"/>
    </font>
    <font>
      <b/>
      <sz val="22"/>
      <color rgb="FF000000"/>
      <name val="Times New Roman"/>
      <family val="1"/>
    </font>
    <font>
      <sz val="11"/>
      <name val="Corbel"/>
      <family val="2"/>
      <scheme val="major"/>
    </font>
    <font>
      <sz val="14"/>
      <color indexed="81"/>
      <name val="Tahoma"/>
      <family val="2"/>
    </font>
    <font>
      <sz val="16"/>
      <color indexed="81"/>
      <name val="Tahoma"/>
      <family val="2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b/>
      <sz val="14"/>
      <color theme="0"/>
      <name val="Times New Roman"/>
      <family val="1"/>
    </font>
    <font>
      <sz val="28"/>
      <color theme="1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auto="1"/>
      </patternFill>
    </fill>
    <fill>
      <patternFill patternType="solid">
        <fgColor theme="2" tint="0.59999389629810485"/>
        <bgColor indexed="64"/>
      </patternFill>
    </fill>
    <fill>
      <patternFill patternType="gray0625">
        <fgColor theme="0" tint="-0.24994659260841701"/>
        <bgColor theme="1" tint="0.1498764000366222"/>
      </patternFill>
    </fill>
    <fill>
      <patternFill patternType="gray0625">
        <fgColor auto="1"/>
        <bgColor theme="0" tint="-0.249977111117893"/>
      </patternFill>
    </fill>
    <fill>
      <patternFill patternType="lightUp">
        <fgColor theme="0"/>
        <bgColor theme="5"/>
      </patternFill>
    </fill>
    <fill>
      <patternFill patternType="lightUp">
        <fgColor auto="1"/>
        <bgColor theme="0" tint="-0.249977111117893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2" fillId="6" borderId="0" xfId="0" applyFont="1" applyFill="1"/>
    <xf numFmtId="0" fontId="2" fillId="6" borderId="0" xfId="0" applyFont="1" applyFill="1" applyAlignment="1">
      <alignment vertical="center"/>
    </xf>
    <xf numFmtId="0" fontId="2" fillId="0" borderId="0" xfId="0" applyFont="1"/>
    <xf numFmtId="164" fontId="2" fillId="0" borderId="0" xfId="0" applyNumberFormat="1" applyFont="1"/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/>
    </xf>
    <xf numFmtId="0" fontId="2" fillId="4" borderId="0" xfId="0" quotePrefix="1" applyFont="1" applyFill="1" applyAlignment="1">
      <alignment horizontal="center"/>
    </xf>
    <xf numFmtId="0" fontId="2" fillId="4" borderId="0" xfId="0" quotePrefix="1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4" borderId="0" xfId="0" applyFill="1"/>
    <xf numFmtId="0" fontId="4" fillId="4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/>
    </xf>
    <xf numFmtId="0" fontId="0" fillId="0" borderId="0" xfId="0" applyAlignment="1"/>
    <xf numFmtId="0" fontId="0" fillId="0" borderId="0" xfId="0" quotePrefix="1" applyAlignment="1">
      <alignment horizontal="center" vertical="center"/>
    </xf>
    <xf numFmtId="0" fontId="2" fillId="4" borderId="0" xfId="0" applyFont="1" applyFill="1"/>
    <xf numFmtId="8" fontId="0" fillId="0" borderId="0" xfId="0" applyNumberFormat="1"/>
    <xf numFmtId="0" fontId="4" fillId="4" borderId="0" xfId="0" applyFont="1" applyFill="1"/>
    <xf numFmtId="0" fontId="3" fillId="2" borderId="7" xfId="0" applyFont="1" applyFill="1" applyBorder="1" applyAlignment="1">
      <alignment vertical="center"/>
    </xf>
    <xf numFmtId="0" fontId="0" fillId="9" borderId="0" xfId="0" applyFill="1" applyAlignment="1">
      <alignment horizontal="center" vertical="center"/>
    </xf>
    <xf numFmtId="0" fontId="0" fillId="9" borderId="0" xfId="0" quotePrefix="1" applyFill="1" applyAlignment="1">
      <alignment horizontal="center" vertical="center"/>
    </xf>
    <xf numFmtId="8" fontId="0" fillId="9" borderId="0" xfId="0" quotePrefix="1" applyNumberFormat="1" applyFill="1" applyAlignment="1">
      <alignment horizontal="center" vertical="center"/>
    </xf>
    <xf numFmtId="6" fontId="2" fillId="4" borderId="0" xfId="0" applyNumberFormat="1" applyFont="1" applyFill="1" applyAlignment="1">
      <alignment horizontal="center" vertical="center"/>
    </xf>
    <xf numFmtId="6" fontId="2" fillId="4" borderId="0" xfId="0" applyNumberFormat="1" applyFont="1" applyFill="1"/>
    <xf numFmtId="0" fontId="4" fillId="9" borderId="0" xfId="0" applyFont="1" applyFill="1" applyAlignment="1">
      <alignment horizontal="center" vertical="center"/>
    </xf>
    <xf numFmtId="6" fontId="0" fillId="9" borderId="0" xfId="0" applyNumberFormat="1" applyFill="1" applyAlignment="1">
      <alignment horizontal="center" vertical="center"/>
    </xf>
    <xf numFmtId="0" fontId="8" fillId="9" borderId="0" xfId="0" applyFont="1" applyFill="1" applyAlignment="1">
      <alignment horizontal="center" vertical="center"/>
    </xf>
    <xf numFmtId="0" fontId="8" fillId="9" borderId="0" xfId="0" applyNumberFormat="1" applyFont="1" applyFill="1" applyAlignment="1">
      <alignment horizontal="center" vertical="center"/>
    </xf>
    <xf numFmtId="6" fontId="8" fillId="9" borderId="0" xfId="0" applyNumberFormat="1" applyFont="1" applyFill="1" applyAlignment="1">
      <alignment horizontal="center" vertical="center"/>
    </xf>
    <xf numFmtId="164" fontId="3" fillId="2" borderId="8" xfId="0" applyNumberFormat="1" applyFont="1" applyFill="1" applyBorder="1" applyAlignment="1" applyProtection="1">
      <alignment horizontal="center" vertical="center"/>
      <protection locked="0"/>
    </xf>
    <xf numFmtId="0" fontId="11" fillId="2" borderId="3" xfId="0" applyFont="1" applyFill="1" applyBorder="1" applyAlignment="1">
      <alignment vertical="center"/>
    </xf>
    <xf numFmtId="0" fontId="11" fillId="2" borderId="4" xfId="0" applyFont="1" applyFill="1" applyBorder="1" applyAlignment="1" applyProtection="1">
      <alignment horizontal="center" vertical="center"/>
      <protection locked="0"/>
    </xf>
    <xf numFmtId="10" fontId="11" fillId="8" borderId="4" xfId="0" applyNumberFormat="1" applyFont="1" applyFill="1" applyBorder="1" applyAlignment="1" applyProtection="1">
      <alignment horizontal="center" vertical="center"/>
      <protection locked="0"/>
    </xf>
    <xf numFmtId="10" fontId="11" fillId="2" borderId="4" xfId="0" applyNumberFormat="1" applyFont="1" applyFill="1" applyBorder="1" applyAlignment="1" applyProtection="1">
      <alignment horizontal="center" vertical="center"/>
      <protection locked="0"/>
    </xf>
    <xf numFmtId="0" fontId="11" fillId="4" borderId="3" xfId="0" applyFont="1" applyFill="1" applyBorder="1" applyAlignment="1">
      <alignment vertical="center"/>
    </xf>
    <xf numFmtId="164" fontId="11" fillId="4" borderId="4" xfId="0" applyNumberFormat="1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vertical="center"/>
    </xf>
    <xf numFmtId="0" fontId="11" fillId="4" borderId="2" xfId="0" applyFont="1" applyFill="1" applyBorder="1" applyAlignment="1">
      <alignment horizontal="center" vertical="center"/>
    </xf>
    <xf numFmtId="0" fontId="11" fillId="4" borderId="4" xfId="0" applyFont="1" applyFill="1" applyBorder="1" applyAlignment="1">
      <alignment horizontal="center" vertical="center"/>
    </xf>
    <xf numFmtId="10" fontId="11" fillId="4" borderId="4" xfId="0" applyNumberFormat="1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vertical="center"/>
    </xf>
    <xf numFmtId="164" fontId="11" fillId="4" borderId="6" xfId="0" applyNumberFormat="1" applyFont="1" applyFill="1" applyBorder="1" applyAlignment="1">
      <alignment horizontal="center" vertical="center"/>
    </xf>
    <xf numFmtId="0" fontId="12" fillId="5" borderId="3" xfId="0" applyFont="1" applyFill="1" applyBorder="1" applyAlignment="1">
      <alignment vertical="center"/>
    </xf>
    <xf numFmtId="164" fontId="12" fillId="5" borderId="4" xfId="0" applyNumberFormat="1" applyFont="1" applyFill="1" applyBorder="1" applyAlignment="1">
      <alignment horizontal="center" vertical="center"/>
    </xf>
    <xf numFmtId="0" fontId="12" fillId="4" borderId="7" xfId="0" applyFont="1" applyFill="1" applyBorder="1" applyAlignment="1" applyProtection="1">
      <alignment vertical="center"/>
      <protection locked="0"/>
    </xf>
    <xf numFmtId="164" fontId="12" fillId="4" borderId="8" xfId="0" applyNumberFormat="1" applyFont="1" applyFill="1" applyBorder="1" applyAlignment="1" applyProtection="1">
      <alignment horizontal="center" vertical="center"/>
      <protection locked="0"/>
    </xf>
    <xf numFmtId="164" fontId="13" fillId="3" borderId="4" xfId="0" applyNumberFormat="1" applyFont="1" applyFill="1" applyBorder="1" applyAlignment="1">
      <alignment horizontal="center" vertical="center"/>
    </xf>
    <xf numFmtId="164" fontId="13" fillId="3" borderId="6" xfId="0" applyNumberFormat="1" applyFont="1" applyFill="1" applyBorder="1" applyAlignment="1" applyProtection="1">
      <alignment horizontal="center" vertical="center"/>
      <protection locked="0"/>
    </xf>
    <xf numFmtId="0" fontId="13" fillId="3" borderId="5" xfId="0" applyFont="1" applyFill="1" applyBorder="1" applyAlignment="1">
      <alignment vertical="center"/>
    </xf>
    <xf numFmtId="0" fontId="13" fillId="3" borderId="3" xfId="0" applyFont="1" applyFill="1" applyBorder="1" applyAlignment="1">
      <alignment vertical="center"/>
    </xf>
    <xf numFmtId="0" fontId="1" fillId="7" borderId="7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/>
    </xf>
    <xf numFmtId="0" fontId="2" fillId="6" borderId="0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3" fillId="4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0" applyFont="1" applyFill="1" applyBorder="1" applyAlignment="1">
      <alignment vertical="center"/>
    </xf>
    <xf numFmtId="164" fontId="13" fillId="10" borderId="6" xfId="0" applyNumberFormat="1" applyFont="1" applyFill="1" applyBorder="1" applyAlignment="1" applyProtection="1">
      <alignment horizontal="center" vertical="center"/>
    </xf>
    <xf numFmtId="0" fontId="14" fillId="11" borderId="10" xfId="0" applyFont="1" applyFill="1" applyBorder="1" applyAlignment="1">
      <alignment horizontal="center" vertical="center"/>
    </xf>
    <xf numFmtId="0" fontId="14" fillId="6" borderId="10" xfId="0" applyFont="1" applyFill="1" applyBorder="1" applyAlignment="1">
      <alignment horizontal="center"/>
    </xf>
    <xf numFmtId="0" fontId="12" fillId="12" borderId="5" xfId="0" applyFont="1" applyFill="1" applyBorder="1" applyAlignment="1">
      <alignment vertical="center"/>
    </xf>
    <xf numFmtId="0" fontId="12" fillId="12" borderId="6" xfId="0" applyFont="1" applyFill="1" applyBorder="1" applyAlignment="1" applyProtection="1">
      <alignment horizontal="center" vertical="center"/>
      <protection locked="0"/>
    </xf>
    <xf numFmtId="0" fontId="14" fillId="13" borderId="10" xfId="0" applyFont="1" applyFill="1" applyBorder="1" applyAlignment="1">
      <alignment horizontal="center" vertical="center"/>
    </xf>
  </cellXfs>
  <cellStyles count="1">
    <cellStyle name="Normal" xfId="0" builtinId="0"/>
  </cellStyles>
  <dxfs count="31">
    <dxf>
      <fill>
        <patternFill patternType="solid">
          <fgColor indexed="64"/>
          <bgColor theme="2" tint="0.59999389629810485"/>
        </patternFill>
      </fill>
      <alignment horizontal="center" vertical="center" textRotation="0" wrapText="0" indent="0" justifyLastLine="0" shrinkToFit="0" readingOrder="0"/>
    </dxf>
    <dxf>
      <numFmt numFmtId="10" formatCode="&quot;$&quot;#,##0_);[Red]\(&quot;$&quot;#,##0\)"/>
      <fill>
        <patternFill patternType="solid">
          <fgColor indexed="64"/>
          <bgColor theme="2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2" tint="0.59999389629810485"/>
        </patternFill>
      </fill>
      <alignment horizontal="center" vertical="center" textRotation="0" wrapText="0" indent="0" justifyLastLine="0" shrinkToFit="0" readingOrder="0"/>
    </dxf>
    <dxf>
      <numFmt numFmtId="10" formatCode="&quot;$&quot;#,##0_);[Red]\(&quot;$&quot;#,##0\)"/>
      <fill>
        <patternFill patternType="solid">
          <fgColor indexed="64"/>
          <bgColor theme="2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2" tint="0.59999389629810485"/>
        </patternFill>
      </fill>
      <alignment horizontal="center" vertical="center" textRotation="0" wrapText="0" indent="0" justifyLastLine="0" shrinkToFit="0" readingOrder="0"/>
    </dxf>
    <dxf>
      <numFmt numFmtId="10" formatCode="&quot;$&quot;#,##0_);[Red]\(&quot;$&quot;#,##0\)"/>
      <fill>
        <patternFill patternType="solid">
          <fgColor indexed="64"/>
          <bgColor theme="2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2" tint="0.59999389629810485"/>
        </patternFill>
      </fill>
      <alignment horizontal="center" vertical="center" textRotation="0" wrapText="0" indent="0" justifyLastLine="0" shrinkToFit="0" readingOrder="0"/>
    </dxf>
    <dxf>
      <numFmt numFmtId="10" formatCode="&quot;$&quot;#,##0_);[Red]\(&quot;$&quot;#,##0\)"/>
      <fill>
        <patternFill patternType="solid">
          <fgColor indexed="64"/>
          <bgColor theme="2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2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2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2" tint="0.5999938962981048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2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2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2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indexed="64"/>
          <bgColor theme="2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0" formatCode="&quot;$&quot;#,##0_);[Red]\(&quot;$&quot;#,##0\)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0" formatCode="&quot;$&quot;#,##0_);[Red]\(&quot;$&quot;#,##0\)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0" formatCode="&quot;$&quot;#,##0_);[Red]\(&quot;$&quot;#,##0\)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0" formatCode="&quot;$&quot;#,##0_);[Red]\(&quot;$&quot;#,##0\)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0" formatCode="&quot;$&quot;#,##0_);[Red]\(&quot;$&quot;#,##0\)"/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0" formatCode="&quot;$&quot;#,##0_);[Red]\(&quot;$&quot;#,##0\)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depletion_model!$G$2</c:f>
              <c:strCache>
                <c:ptCount val="1"/>
                <c:pt idx="0">
                  <c:v>Remaining Balance After Withdrawal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depletion_model!$B$3:$B$202</c:f>
              <c:numCache>
                <c:formatCode>General</c:formatCode>
                <c:ptCount val="40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  <c:pt idx="7">
                  <c:v>2023</c:v>
                </c:pt>
                <c:pt idx="8">
                  <c:v>2024</c:v>
                </c:pt>
                <c:pt idx="9">
                  <c:v>2025</c:v>
                </c:pt>
                <c:pt idx="10">
                  <c:v>2026</c:v>
                </c:pt>
                <c:pt idx="11">
                  <c:v>2027</c:v>
                </c:pt>
                <c:pt idx="12">
                  <c:v>2028</c:v>
                </c:pt>
                <c:pt idx="13">
                  <c:v>2029</c:v>
                </c:pt>
                <c:pt idx="14">
                  <c:v>2030</c:v>
                </c:pt>
                <c:pt idx="15">
                  <c:v>2031</c:v>
                </c:pt>
                <c:pt idx="16">
                  <c:v>2032</c:v>
                </c:pt>
                <c:pt idx="17">
                  <c:v>2033</c:v>
                </c:pt>
                <c:pt idx="18">
                  <c:v>2034</c:v>
                </c:pt>
                <c:pt idx="19">
                  <c:v>2035</c:v>
                </c:pt>
                <c:pt idx="20">
                  <c:v>2036</c:v>
                </c:pt>
                <c:pt idx="21">
                  <c:v>2037</c:v>
                </c:pt>
                <c:pt idx="22">
                  <c:v>2038</c:v>
                </c:pt>
                <c:pt idx="23">
                  <c:v>2039</c:v>
                </c:pt>
                <c:pt idx="24">
                  <c:v>2040</c:v>
                </c:pt>
                <c:pt idx="25">
                  <c:v>2041</c:v>
                </c:pt>
                <c:pt idx="26">
                  <c:v>2042</c:v>
                </c:pt>
                <c:pt idx="27">
                  <c:v>2043</c:v>
                </c:pt>
                <c:pt idx="28">
                  <c:v>2044</c:v>
                </c:pt>
                <c:pt idx="29">
                  <c:v>2045</c:v>
                </c:pt>
                <c:pt idx="30">
                  <c:v>2046</c:v>
                </c:pt>
                <c:pt idx="31">
                  <c:v>2047</c:v>
                </c:pt>
                <c:pt idx="32">
                  <c:v>2048</c:v>
                </c:pt>
                <c:pt idx="33">
                  <c:v>2049</c:v>
                </c:pt>
                <c:pt idx="34">
                  <c:v>2050</c:v>
                </c:pt>
                <c:pt idx="35">
                  <c:v>2051</c:v>
                </c:pt>
                <c:pt idx="36">
                  <c:v>2052</c:v>
                </c:pt>
                <c:pt idx="37">
                  <c:v>2053</c:v>
                </c:pt>
                <c:pt idx="38">
                  <c:v>2054</c:v>
                </c:pt>
                <c:pt idx="39">
                  <c:v>2055</c:v>
                </c:pt>
              </c:numCache>
            </c:numRef>
          </c:cat>
          <c:val>
            <c:numRef>
              <c:f>depletion_model!$G$3:$G$202</c:f>
              <c:numCache>
                <c:formatCode>"$"#,##0_);[Red]\("$"#,##0\)</c:formatCode>
                <c:ptCount val="40"/>
                <c:pt idx="0">
                  <c:v>0</c:v>
                </c:pt>
                <c:pt idx="1">
                  <c:v>63886.964707941625</c:v>
                </c:pt>
                <c:pt idx="2">
                  <c:v>129690.5383571213</c:v>
                </c:pt>
                <c:pt idx="3">
                  <c:v>197468.21921577663</c:v>
                </c:pt>
                <c:pt idx="4">
                  <c:v>267279.23050019139</c:v>
                </c:pt>
                <c:pt idx="5">
                  <c:v>339184.57212313853</c:v>
                </c:pt>
                <c:pt idx="6">
                  <c:v>413247.07399477431</c:v>
                </c:pt>
                <c:pt idx="7">
                  <c:v>489531.45092255931</c:v>
                </c:pt>
                <c:pt idx="8">
                  <c:v>568104.35915817739</c:v>
                </c:pt>
                <c:pt idx="9">
                  <c:v>649034.45464086439</c:v>
                </c:pt>
                <c:pt idx="10">
                  <c:v>732392.4529880319</c:v>
                </c:pt>
                <c:pt idx="11">
                  <c:v>818251.19128561439</c:v>
                </c:pt>
                <c:pt idx="12">
                  <c:v>906685.69173212396</c:v>
                </c:pt>
                <c:pt idx="13">
                  <c:v>997773.22719202936</c:v>
                </c:pt>
                <c:pt idx="14">
                  <c:v>1091593.3887157319</c:v>
                </c:pt>
                <c:pt idx="15">
                  <c:v>1188228.1550851457</c:v>
                </c:pt>
                <c:pt idx="16">
                  <c:v>1287761.964445641</c:v>
                </c:pt>
                <c:pt idx="17">
                  <c:v>1390281.7880869519</c:v>
                </c:pt>
                <c:pt idx="18">
                  <c:v>1495877.2064375021</c:v>
                </c:pt>
                <c:pt idx="19">
                  <c:v>1604640.4873385685</c:v>
                </c:pt>
                <c:pt idx="20">
                  <c:v>1666666.666666667</c:v>
                </c:pt>
                <c:pt idx="21">
                  <c:v>1666666.666666667</c:v>
                </c:pt>
                <c:pt idx="22">
                  <c:v>1666666.666666667</c:v>
                </c:pt>
                <c:pt idx="23">
                  <c:v>1666666.666666667</c:v>
                </c:pt>
                <c:pt idx="24">
                  <c:v>1666666.666666667</c:v>
                </c:pt>
                <c:pt idx="25">
                  <c:v>1666666.666666667</c:v>
                </c:pt>
                <c:pt idx="26">
                  <c:v>1666666.666666667</c:v>
                </c:pt>
                <c:pt idx="27">
                  <c:v>1666666.666666667</c:v>
                </c:pt>
                <c:pt idx="28">
                  <c:v>1666666.666666667</c:v>
                </c:pt>
                <c:pt idx="29">
                  <c:v>1666666.666666667</c:v>
                </c:pt>
                <c:pt idx="30">
                  <c:v>1666666.666666667</c:v>
                </c:pt>
                <c:pt idx="31">
                  <c:v>1666666.666666667</c:v>
                </c:pt>
                <c:pt idx="32">
                  <c:v>1666666.666666667</c:v>
                </c:pt>
                <c:pt idx="33">
                  <c:v>1666666.666666667</c:v>
                </c:pt>
                <c:pt idx="34">
                  <c:v>1666666.666666667</c:v>
                </c:pt>
                <c:pt idx="35">
                  <c:v>1666666.666666667</c:v>
                </c:pt>
                <c:pt idx="36">
                  <c:v>1666666.666666667</c:v>
                </c:pt>
                <c:pt idx="37">
                  <c:v>1666666.666666667</c:v>
                </c:pt>
                <c:pt idx="38">
                  <c:v>1666666.666666667</c:v>
                </c:pt>
                <c:pt idx="39">
                  <c:v>1666666.666666667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A5-4869-B8C9-F8FFB0E1E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185240"/>
        <c:axId val="414189176"/>
      </c:lineChart>
      <c:catAx>
        <c:axId val="41418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189176"/>
        <c:crosses val="autoZero"/>
        <c:auto val="1"/>
        <c:lblAlgn val="ctr"/>
        <c:lblOffset val="100"/>
        <c:noMultiLvlLbl val="0"/>
      </c:catAx>
      <c:valAx>
        <c:axId val="414189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185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Spin" dx="22" fmlaLink="current_age" max="70" min="20" page="10" val="45"/>
</file>

<file path=xl/ctrlProps/ctrlProp2.xml><?xml version="1.0" encoding="utf-8"?>
<formControlPr xmlns="http://schemas.microsoft.com/office/spreadsheetml/2009/9/main" objectType="Spin" dx="22" fmlaLink="retirement_age" max="120" min="30" page="10" val="65"/>
</file>

<file path=xl/ctrlProps/ctrlProp3.xml><?xml version="1.0" encoding="utf-8"?>
<formControlPr xmlns="http://schemas.microsoft.com/office/spreadsheetml/2009/9/main" objectType="Spin" dx="22" fmlaLink="eoy" max="1" page="1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Spin" dx="22" fmlaLink="$C$5" max="100" min="2" page="10" val="2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</xdr:row>
          <xdr:rowOff>38100</xdr:rowOff>
        </xdr:from>
        <xdr:to>
          <xdr:col>3</xdr:col>
          <xdr:colOff>266700</xdr:colOff>
          <xdr:row>3</xdr:row>
          <xdr:rowOff>28575</xdr:rowOff>
        </xdr:to>
        <xdr:sp macro="" textlink="">
          <xdr:nvSpPr>
            <xdr:cNvPr id="2054" name="Spinner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3</xdr:row>
          <xdr:rowOff>38100</xdr:rowOff>
        </xdr:from>
        <xdr:to>
          <xdr:col>3</xdr:col>
          <xdr:colOff>266700</xdr:colOff>
          <xdr:row>3</xdr:row>
          <xdr:rowOff>609600</xdr:rowOff>
        </xdr:to>
        <xdr:sp macro="" textlink="">
          <xdr:nvSpPr>
            <xdr:cNvPr id="2055" name="Spinner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5</xdr:row>
          <xdr:rowOff>466725</xdr:rowOff>
        </xdr:from>
        <xdr:to>
          <xdr:col>3</xdr:col>
          <xdr:colOff>266700</xdr:colOff>
          <xdr:row>6</xdr:row>
          <xdr:rowOff>514350</xdr:rowOff>
        </xdr:to>
        <xdr:sp macro="" textlink="">
          <xdr:nvSpPr>
            <xdr:cNvPr id="2056" name="Spinner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3</xdr:row>
          <xdr:rowOff>419100</xdr:rowOff>
        </xdr:from>
        <xdr:to>
          <xdr:col>9</xdr:col>
          <xdr:colOff>666750</xdr:colOff>
          <xdr:row>4</xdr:row>
          <xdr:rowOff>333375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Calculate required yearly payment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5191125</xdr:colOff>
          <xdr:row>13</xdr:row>
          <xdr:rowOff>142876</xdr:rowOff>
        </xdr:from>
        <xdr:to>
          <xdr:col>3</xdr:col>
          <xdr:colOff>9525</xdr:colOff>
          <xdr:row>14</xdr:row>
          <xdr:rowOff>554183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orbel"/>
                </a:rPr>
                <a:t>Adjusted for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orbel"/>
                </a:rPr>
                <a:t> inflation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</xdr:row>
          <xdr:rowOff>609600</xdr:rowOff>
        </xdr:from>
        <xdr:to>
          <xdr:col>3</xdr:col>
          <xdr:colOff>257175</xdr:colOff>
          <xdr:row>5</xdr:row>
          <xdr:rowOff>123825</xdr:rowOff>
        </xdr:to>
        <xdr:sp macro="" textlink="">
          <xdr:nvSpPr>
            <xdr:cNvPr id="2089" name="Spinner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657225</xdr:colOff>
          <xdr:row>5</xdr:row>
          <xdr:rowOff>0</xdr:rowOff>
        </xdr:from>
        <xdr:to>
          <xdr:col>9</xdr:col>
          <xdr:colOff>85725</xdr:colOff>
          <xdr:row>6</xdr:row>
          <xdr:rowOff>200025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Reset Inputs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2598</xdr:colOff>
          <xdr:row>13</xdr:row>
          <xdr:rowOff>161925</xdr:rowOff>
        </xdr:from>
        <xdr:to>
          <xdr:col>1</xdr:col>
          <xdr:colOff>1838325</xdr:colOff>
          <xdr:row>14</xdr:row>
          <xdr:rowOff>554182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orbel"/>
                </a:rPr>
                <a:t>Unadjusted for inflation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6</xdr:col>
      <xdr:colOff>456046</xdr:colOff>
      <xdr:row>0</xdr:row>
      <xdr:rowOff>178954</xdr:rowOff>
    </xdr:from>
    <xdr:to>
      <xdr:col>9</xdr:col>
      <xdr:colOff>313171</xdr:colOff>
      <xdr:row>3</xdr:row>
      <xdr:rowOff>405534</xdr:rowOff>
    </xdr:to>
    <xdr:sp macro="" textlink="">
      <xdr:nvSpPr>
        <xdr:cNvPr id="2" name="TextBox 1"/>
        <xdr:cNvSpPr txBox="1"/>
      </xdr:nvSpPr>
      <xdr:spPr>
        <a:xfrm>
          <a:off x="16267546" y="178954"/>
          <a:ext cx="3164898" cy="1300307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0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Annuity Model</a:t>
          </a:r>
        </a:p>
      </xdr:txBody>
    </xdr:sp>
    <xdr:clientData/>
  </xdr:twoCellAnchor>
  <xdr:twoCellAnchor>
    <xdr:from>
      <xdr:col>6</xdr:col>
      <xdr:colOff>472786</xdr:colOff>
      <xdr:row>7</xdr:row>
      <xdr:rowOff>331355</xdr:rowOff>
    </xdr:from>
    <xdr:to>
      <xdr:col>9</xdr:col>
      <xdr:colOff>329911</xdr:colOff>
      <xdr:row>9</xdr:row>
      <xdr:rowOff>241877</xdr:rowOff>
    </xdr:to>
    <xdr:sp macro="" textlink="">
      <xdr:nvSpPr>
        <xdr:cNvPr id="14" name="TextBox 13"/>
        <xdr:cNvSpPr txBox="1"/>
      </xdr:nvSpPr>
      <xdr:spPr>
        <a:xfrm>
          <a:off x="16492104" y="3517900"/>
          <a:ext cx="3164898" cy="131329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Depletion Model (Unprotect</a:t>
          </a:r>
          <a:r>
            <a:rPr lang="en-US" sz="2400" b="1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sheet first)</a:t>
          </a:r>
          <a:endParaRPr lang="en-US" sz="2400" b="1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6</xdr:row>
          <xdr:rowOff>295275</xdr:rowOff>
        </xdr:from>
        <xdr:to>
          <xdr:col>9</xdr:col>
          <xdr:colOff>628650</xdr:colOff>
          <xdr:row>7</xdr:row>
          <xdr:rowOff>333375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Calculate required yearly payment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1920875</xdr:colOff>
      <xdr:row>13</xdr:row>
      <xdr:rowOff>127001</xdr:rowOff>
    </xdr:from>
    <xdr:to>
      <xdr:col>1</xdr:col>
      <xdr:colOff>5064125</xdr:colOff>
      <xdr:row>14</xdr:row>
      <xdr:rowOff>588820</xdr:rowOff>
    </xdr:to>
    <xdr:sp macro="" textlink="">
      <xdr:nvSpPr>
        <xdr:cNvPr id="17" name="TextBox 16"/>
        <xdr:cNvSpPr txBox="1"/>
      </xdr:nvSpPr>
      <xdr:spPr>
        <a:xfrm>
          <a:off x="2423102" y="6794501"/>
          <a:ext cx="3143250" cy="1171864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2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Set</a:t>
          </a:r>
          <a:r>
            <a:rPr lang="en-US" sz="3200" b="1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Desired</a:t>
          </a:r>
          <a:r>
            <a:rPr lang="en-US" sz="32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Income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438150</xdr:colOff>
      <xdr:row>20</xdr:row>
      <xdr:rowOff>38100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6" name="Table6" displayName="Table6" ref="A2:D103" totalsRowShown="0" headerRowDxfId="30">
  <autoFilter ref="A2:D103"/>
  <tableColumns count="4">
    <tableColumn id="1" name="Period" dataDxfId="29">
      <calculatedColumnFormula>IF(A2="","",IF(A2&lt;=input!$F$3+input!$C$5, A2+1, ""))</calculatedColumnFormula>
    </tableColumn>
    <tableColumn id="2" name="Year" dataDxfId="28">
      <calculatedColumnFormula>IF(B2="", "", IF((B2)&gt;=input!$F$5, "", B2+1))</calculatedColumnFormula>
    </tableColumn>
    <tableColumn id="5" name="Nominal Value" dataDxfId="27">
      <calculatedColumnFormula>IF(A3="","",(required_income_final))</calculatedColumnFormula>
    </tableColumn>
    <tableColumn id="3" name="Real Value" dataDxfId="26">
      <calculatedColumnFormula>IF(A3="","",PV(input!$C$11,A3,,-C3))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A2:D102" totalsRowShown="0" headerRowDxfId="25">
  <autoFilter ref="A2:D102"/>
  <tableColumns count="4">
    <tableColumn id="1" name="Period" dataDxfId="24">
      <calculatedColumnFormula>IF(input!$F$3&gt;A2,A2+1,"")</calculatedColumnFormula>
    </tableColumn>
    <tableColumn id="2" name="Year" dataDxfId="23">
      <calculatedColumnFormula>IF(A3="","",(B2+1))</calculatedColumnFormula>
    </tableColumn>
    <tableColumn id="3" name="FV" dataDxfId="22">
      <calculatedColumnFormula>IF(A3 = "", "", FV(input!$C$10,A3,-input!$F$16,,input!$C$7))</calculatedColumnFormula>
    </tableColumn>
    <tableColumn id="4" name="PV" dataDxfId="21">
      <calculatedColumnFormula>IF(A3 = "", "", PV(input!$C$12,A3,,-C3,input!$C$7))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able5" displayName="Table5" ref="A2:D102" totalsRowShown="0" headerRowDxfId="20">
  <autoFilter ref="A2:D102"/>
  <tableColumns count="4">
    <tableColumn id="1" name="Period" dataDxfId="19">
      <calculatedColumnFormula>IF(nominal_balance!A3="","",nominal_balance!A3)</calculatedColumnFormula>
    </tableColumn>
    <tableColumn id="2" name="Year" dataDxfId="18">
      <calculatedColumnFormula>IF(nominal_balance!A3="","",(nominal_balance!B2+1))</calculatedColumnFormula>
    </tableColumn>
    <tableColumn id="3" name="FV" dataDxfId="17">
      <calculatedColumnFormula>IF(nominal_balance!A3="","",FV(input!$F$6,A3,-input!$F$16,,input!$C$7))</calculatedColumnFormula>
    </tableColumn>
    <tableColumn id="4" name="PV" dataDxfId="16">
      <calculatedColumnFormula>IF(nominal_balance!A3="","",PV((input!$C$12),A3,,-C3,input!$C$7))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le1" displayName="Table1" ref="A2:G202" headerRowDxfId="15" dataDxfId="14">
  <autoFilter ref="A2:G202">
    <filterColumn colId="0">
      <customFilters>
        <customFilter operator="notEqual" val="&quot;&quot;"/>
      </customFilters>
    </filterColumn>
    <filterColumn colId="1">
      <customFilters>
        <customFilter operator="notEqual" val=" "/>
      </customFilters>
    </filterColumn>
    <filterColumn colId="3">
      <customFilters>
        <customFilter operator="notEqual" val="&quot;&quot;"/>
      </customFilters>
    </filterColumn>
    <filterColumn colId="5">
      <customFilters>
        <customFilter operator="notEqual" val="&quot;&quot;"/>
      </customFilters>
    </filterColumn>
    <filterColumn colId="6">
      <customFilters>
        <customFilter operator="notEqual" val="&quot;&quot;"/>
      </customFilters>
    </filterColumn>
  </autoFilter>
  <tableColumns count="7">
    <tableColumn id="1" name="Period" totalsRowLabel="Total" dataDxfId="13" totalsRowDxfId="12">
      <calculatedColumnFormula>IF(A2="","",IF(A2+2&gt;input!$F$3+input!$C$5, "", A2+1))</calculatedColumnFormula>
    </tableColumn>
    <tableColumn id="6" name="End of" dataDxfId="11" totalsRowDxfId="10">
      <calculatedColumnFormula>IF(A3="","",starting_year+(A3-1))</calculatedColumnFormula>
    </tableColumn>
    <tableColumn id="2" name="Retirement Period" dataDxfId="9" totalsRowDxfId="8">
      <calculatedColumnFormula>IF(A3&lt;=input!$F$3, "False", IF(AND(A3&gt;input!$F$3,A3&lt;=(input!$F$3+input!$C$5)), "True", ""))</calculatedColumnFormula>
    </tableColumn>
    <tableColumn id="3" name="Balance" dataDxfId="7" totalsRowDxfId="6">
      <calculatedColumnFormula>IF(A3="","",IF(C3="False",FV(input!$C$10,A3,-input!$F$16,,input!$C$7),G2))</calculatedColumnFormula>
    </tableColumn>
    <tableColumn id="7" name="Interest" dataDxfId="5" totalsRowDxfId="4">
      <calculatedColumnFormula>IF(Table1[[#This Row],[Period]]="","",Table1[[#This Row],[Balance]]*profit_rate)</calculatedColumnFormula>
    </tableColumn>
    <tableColumn id="4" name="Withdrawals" dataDxfId="3" totalsRowDxfId="2">
      <calculatedColumnFormula>IF(A3="","",IF(A3&gt;=input!$F$3, input!$F$12,0))</calculatedColumnFormula>
    </tableColumn>
    <tableColumn id="5" name="Remaining Balance After Withdrawal" totalsRowFunction="count" dataDxfId="1" totalsRowDxfId="0">
      <calculatedColumnFormula>IF(F3="","",D3-F3+Table1[[#This Row],[Interest]])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Red">
      <a:dk1>
        <a:sysClr val="windowText" lastClr="000000"/>
      </a:dk1>
      <a:lt1>
        <a:sysClr val="window" lastClr="FFFFFF"/>
      </a:lt1>
      <a:dk2>
        <a:srgbClr val="323232"/>
      </a:dk2>
      <a:lt2>
        <a:srgbClr val="E5C243"/>
      </a:lt2>
      <a:accent1>
        <a:srgbClr val="A5300F"/>
      </a:accent1>
      <a:accent2>
        <a:srgbClr val="D55816"/>
      </a:accent2>
      <a:accent3>
        <a:srgbClr val="E19825"/>
      </a:accent3>
      <a:accent4>
        <a:srgbClr val="B19C7D"/>
      </a:accent4>
      <a:accent5>
        <a:srgbClr val="7F5F52"/>
      </a:accent5>
      <a:accent6>
        <a:srgbClr val="B27D49"/>
      </a:accent6>
      <a:hlink>
        <a:srgbClr val="6B9F25"/>
      </a:hlink>
      <a:folHlink>
        <a:srgbClr val="B26B02"/>
      </a:folHlink>
    </a:clrScheme>
    <a:fontScheme name="Corbel">
      <a:majorFont>
        <a:latin typeface="Corbel" panose="020B0503020204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orbel" panose="020B0503020204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 tint="0.499984740745262"/>
  </sheetPr>
  <dimension ref="A1:J27"/>
  <sheetViews>
    <sheetView tabSelected="1" zoomScale="55" zoomScaleNormal="55" workbookViewId="0"/>
  </sheetViews>
  <sheetFormatPr defaultRowHeight="15" x14ac:dyDescent="0.25"/>
  <cols>
    <col min="1" max="1" width="6.625" style="3" customWidth="1"/>
    <col min="2" max="2" width="81.125" style="3" customWidth="1"/>
    <col min="3" max="3" width="15.75" style="3" customWidth="1"/>
    <col min="4" max="4" width="13.875" style="3" customWidth="1"/>
    <col min="5" max="5" width="69.5" style="3" bestFit="1" customWidth="1"/>
    <col min="6" max="6" width="23.375" style="3" customWidth="1"/>
    <col min="7" max="7" width="25.25" style="3" customWidth="1"/>
    <col min="8" max="10" width="9" style="3"/>
    <col min="11" max="11" width="17.125" style="3" bestFit="1" customWidth="1"/>
    <col min="12" max="16384" width="9" style="3"/>
  </cols>
  <sheetData>
    <row r="1" spans="1:10" ht="15.75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</row>
    <row r="2" spans="1:10" ht="27.75" thickBot="1" x14ac:dyDescent="0.3">
      <c r="A2" s="1"/>
      <c r="B2" s="51" t="s">
        <v>16</v>
      </c>
      <c r="C2" s="52"/>
      <c r="D2" s="54"/>
      <c r="E2" s="51" t="s">
        <v>18</v>
      </c>
      <c r="F2" s="52"/>
      <c r="G2" s="1"/>
      <c r="H2" s="1"/>
      <c r="I2" s="1"/>
      <c r="J2" s="1"/>
    </row>
    <row r="3" spans="1:10" ht="40.5" customHeight="1" x14ac:dyDescent="0.25">
      <c r="A3" s="1"/>
      <c r="B3" s="31" t="s">
        <v>9</v>
      </c>
      <c r="C3" s="32">
        <v>45</v>
      </c>
      <c r="D3" s="54"/>
      <c r="E3" s="37" t="s">
        <v>0</v>
      </c>
      <c r="F3" s="38">
        <f>retirement_age-current_age</f>
        <v>20</v>
      </c>
      <c r="G3" s="1"/>
      <c r="H3" s="1"/>
      <c r="I3" s="1"/>
      <c r="J3" s="1"/>
    </row>
    <row r="4" spans="1:10" ht="51.75" customHeight="1" x14ac:dyDescent="0.25">
      <c r="A4" s="1"/>
      <c r="B4" s="31" t="s">
        <v>8</v>
      </c>
      <c r="C4" s="32">
        <v>65</v>
      </c>
      <c r="D4" s="54"/>
      <c r="E4" s="35" t="s">
        <v>24</v>
      </c>
      <c r="F4" s="39">
        <f>starting_year+F3</f>
        <v>2037</v>
      </c>
      <c r="G4" s="1"/>
      <c r="H4" s="1"/>
      <c r="I4" s="1"/>
      <c r="J4" s="1"/>
    </row>
    <row r="5" spans="1:10" ht="33" customHeight="1" x14ac:dyDescent="0.25">
      <c r="A5" s="1"/>
      <c r="B5" s="31" t="s">
        <v>22</v>
      </c>
      <c r="C5" s="32">
        <v>20</v>
      </c>
      <c r="D5" s="54"/>
      <c r="E5" s="35" t="s">
        <v>25</v>
      </c>
      <c r="F5" s="39">
        <f>F4+C5</f>
        <v>2057</v>
      </c>
      <c r="G5" s="1"/>
      <c r="H5" s="1"/>
      <c r="I5" s="1"/>
      <c r="J5" s="1"/>
    </row>
    <row r="6" spans="1:10" ht="41.25" customHeight="1" x14ac:dyDescent="0.25">
      <c r="A6" s="1"/>
      <c r="B6" s="31" t="s">
        <v>13</v>
      </c>
      <c r="C6" s="32">
        <v>2017</v>
      </c>
      <c r="D6" s="54"/>
      <c r="E6" s="35" t="s">
        <v>21</v>
      </c>
      <c r="F6" s="40">
        <f>((1+profit_rate)/(1+inflation_rate))-1</f>
        <v>9.8039215686274161E-3</v>
      </c>
      <c r="G6" s="1"/>
      <c r="H6" s="1"/>
      <c r="I6" s="1"/>
      <c r="J6" s="1"/>
    </row>
    <row r="7" spans="1:10" ht="41.25" customHeight="1" thickBot="1" x14ac:dyDescent="0.3">
      <c r="A7" s="1"/>
      <c r="B7" s="63" t="s">
        <v>39</v>
      </c>
      <c r="C7" s="64">
        <v>1</v>
      </c>
      <c r="D7" s="54"/>
      <c r="E7" s="41" t="s">
        <v>10</v>
      </c>
      <c r="F7" s="42">
        <f>required_income_final/profit_rate</f>
        <v>1666666.6666666667</v>
      </c>
      <c r="G7" s="1"/>
      <c r="H7" s="1"/>
      <c r="I7" s="1"/>
      <c r="J7" s="1"/>
    </row>
    <row r="8" spans="1:10" ht="49.5" customHeight="1" thickBot="1" x14ac:dyDescent="0.3">
      <c r="A8" s="1"/>
      <c r="B8" s="53"/>
      <c r="C8" s="53"/>
      <c r="D8" s="54"/>
      <c r="E8" s="43" t="s">
        <v>36</v>
      </c>
      <c r="F8" s="44">
        <f>MAX(nominal_fv)</f>
        <v>1666666.666666667</v>
      </c>
      <c r="G8" s="1"/>
      <c r="H8" s="1"/>
      <c r="I8" s="1"/>
      <c r="J8" s="1"/>
    </row>
    <row r="9" spans="1:10" ht="60.75" customHeight="1" thickBot="1" x14ac:dyDescent="0.3">
      <c r="A9" s="1"/>
      <c r="B9" s="51" t="s">
        <v>17</v>
      </c>
      <c r="C9" s="52"/>
      <c r="D9" s="54"/>
      <c r="E9" s="35" t="s">
        <v>45</v>
      </c>
      <c r="F9" s="36">
        <f>MAX(nominal_pv)</f>
        <v>1365907.4505621593</v>
      </c>
      <c r="G9" s="1"/>
      <c r="H9" s="1"/>
      <c r="I9" s="1"/>
      <c r="J9" s="1"/>
    </row>
    <row r="10" spans="1:10" ht="42.75" customHeight="1" x14ac:dyDescent="0.25">
      <c r="A10" s="1"/>
      <c r="B10" s="31" t="s">
        <v>1</v>
      </c>
      <c r="C10" s="33">
        <v>0.03</v>
      </c>
      <c r="D10" s="54"/>
      <c r="E10" s="35" t="s">
        <v>37</v>
      </c>
      <c r="F10" s="36">
        <f>MAX(real_fv)</f>
        <v>1336422.7917334184</v>
      </c>
      <c r="G10" s="1"/>
      <c r="H10" s="1"/>
      <c r="I10" s="1"/>
      <c r="J10" s="1"/>
    </row>
    <row r="11" spans="1:10" ht="45" customHeight="1" thickBot="1" x14ac:dyDescent="0.3">
      <c r="A11" s="1"/>
      <c r="B11" s="31" t="s">
        <v>7</v>
      </c>
      <c r="C11" s="34">
        <v>0.02</v>
      </c>
      <c r="D11" s="54"/>
      <c r="E11" s="35" t="s">
        <v>46</v>
      </c>
      <c r="F11" s="36">
        <f>MAX(real_pv)</f>
        <v>1095257.908997854</v>
      </c>
      <c r="G11" s="1"/>
      <c r="H11" s="1"/>
      <c r="I11" s="1"/>
      <c r="J11" s="1"/>
    </row>
    <row r="12" spans="1:10" ht="37.5" customHeight="1" thickBot="1" x14ac:dyDescent="0.3">
      <c r="A12" s="1"/>
      <c r="B12" s="31" t="s">
        <v>6</v>
      </c>
      <c r="C12" s="34">
        <v>0.01</v>
      </c>
      <c r="D12" s="54"/>
      <c r="E12" s="45" t="s">
        <v>42</v>
      </c>
      <c r="F12" s="46">
        <v>50000</v>
      </c>
      <c r="G12" s="1"/>
      <c r="H12" s="1"/>
      <c r="I12" s="1"/>
      <c r="J12" s="1"/>
    </row>
    <row r="13" spans="1:10" ht="37.5" customHeight="1" thickBot="1" x14ac:dyDescent="0.3">
      <c r="A13" s="1"/>
      <c r="B13" s="19" t="s">
        <v>35</v>
      </c>
      <c r="C13" s="30">
        <v>50000</v>
      </c>
      <c r="D13" s="54"/>
      <c r="E13" s="2"/>
      <c r="F13" s="2"/>
      <c r="G13" s="1"/>
      <c r="H13" s="1"/>
      <c r="I13" s="1"/>
      <c r="J13" s="1"/>
    </row>
    <row r="14" spans="1:10" ht="55.5" customHeight="1" thickBot="1" x14ac:dyDescent="0.3">
      <c r="A14" s="1"/>
      <c r="B14" s="1"/>
      <c r="C14" s="1"/>
      <c r="D14" s="54"/>
      <c r="E14" s="51" t="s">
        <v>19</v>
      </c>
      <c r="F14" s="52">
        <v>2.5821344449300232E+88</v>
      </c>
      <c r="G14" s="1"/>
      <c r="H14" s="1"/>
      <c r="I14" s="1"/>
      <c r="J14" s="1"/>
    </row>
    <row r="15" spans="1:10" ht="50.25" customHeight="1" x14ac:dyDescent="0.25">
      <c r="A15" s="1"/>
      <c r="B15" s="1"/>
      <c r="C15" s="1"/>
      <c r="D15" s="54"/>
      <c r="E15" s="50" t="s">
        <v>26</v>
      </c>
      <c r="F15" s="47">
        <f>AVERAGE(retirement_incomes_projections!D3:D103)</f>
        <v>27257.276445492826</v>
      </c>
      <c r="G15" s="1"/>
      <c r="H15" s="1"/>
      <c r="I15" s="1"/>
      <c r="J15" s="1"/>
    </row>
    <row r="16" spans="1:10" ht="64.5" customHeight="1" thickBot="1" x14ac:dyDescent="0.55000000000000004">
      <c r="A16" s="1"/>
      <c r="B16" s="62" t="s">
        <v>43</v>
      </c>
      <c r="C16" s="13"/>
      <c r="D16" s="54"/>
      <c r="E16" s="49" t="s">
        <v>20</v>
      </c>
      <c r="F16" s="48">
        <v>60219.591580678265</v>
      </c>
      <c r="G16" s="1"/>
      <c r="H16" s="1"/>
      <c r="I16" s="1"/>
      <c r="J16" s="1"/>
    </row>
    <row r="17" spans="1:10" ht="60" customHeight="1" thickBot="1" x14ac:dyDescent="0.3">
      <c r="A17" s="1"/>
      <c r="B17" s="65" t="s">
        <v>44</v>
      </c>
      <c r="C17" s="1"/>
      <c r="D17" s="54"/>
      <c r="E17" s="59" t="s">
        <v>38</v>
      </c>
      <c r="F17" s="60">
        <f>MIN(depletion_model!G4:G204)</f>
        <v>63886.964707941625</v>
      </c>
      <c r="G17" s="1"/>
      <c r="H17" s="1"/>
      <c r="I17" s="1"/>
      <c r="J17" s="1"/>
    </row>
    <row r="18" spans="1:10" ht="68.25" customHeight="1" x14ac:dyDescent="0.25">
      <c r="A18" s="1"/>
      <c r="B18" s="61" t="s">
        <v>41</v>
      </c>
      <c r="C18" s="1"/>
      <c r="D18" s="54"/>
      <c r="E18" s="1"/>
      <c r="F18" s="1"/>
      <c r="G18" s="1"/>
      <c r="H18" s="1"/>
      <c r="I18" s="1"/>
      <c r="J18" s="1"/>
    </row>
    <row r="27" spans="1:10" x14ac:dyDescent="0.25">
      <c r="B27" s="4"/>
    </row>
  </sheetData>
  <sheetProtection sheet="1" objects="1" scenarios="1"/>
  <scenarios current="0" show="0" sqref="F16">
    <scenario name="Early Savings for Retirement" locked="1" count="1" user="Author">
      <inputCells r="C3" val="25"/>
    </scenario>
  </scenarios>
  <mergeCells count="6">
    <mergeCell ref="B9:C9"/>
    <mergeCell ref="B2:C2"/>
    <mergeCell ref="E2:F2"/>
    <mergeCell ref="E14:F14"/>
    <mergeCell ref="B8:C8"/>
    <mergeCell ref="D2:D18"/>
  </mergeCells>
  <dataValidations xWindow="445" yWindow="255" count="12">
    <dataValidation type="whole" showInputMessage="1" showErrorMessage="1" errorTitle="Invalid current age!" error="Current age can only be between 20 and 70 years" promptTitle="Saving Age" prompt="Please input the age you desire to start saving at!" sqref="C3">
      <formula1>20</formula1>
      <formula2>70</formula2>
    </dataValidation>
    <dataValidation type="whole" allowBlank="1" showInputMessage="1" showErrorMessage="1" errorTitle="Invalid Retirement Age!" error="Retirement age must be between 30 and 120!" promptTitle="Retirement Age" prompt="Please input your desired requirement age!" sqref="C4">
      <formula1>30</formula1>
      <formula2>120</formula2>
    </dataValidation>
    <dataValidation type="whole" allowBlank="1" showInputMessage="1" showErrorMessage="1" errorTitle="Invalid Years Till Retirement" error="Years till retirement must be at least 1 and at most 100!" sqref="F3">
      <formula1>1</formula1>
      <formula2>100</formula2>
    </dataValidation>
    <dataValidation type="whole" operator="greaterThan" allowBlank="1" showInputMessage="1" showErrorMessage="1" errorTitle="Invalid Starting Year" error="Saving must start atleast from 2017!" promptTitle="Starting Saving Year" prompt="Please enter the year you wish to start saving at!" sqref="C6">
      <formula1>2016</formula1>
    </dataValidation>
    <dataValidation type="whole" allowBlank="1" showInputMessage="1" showErrorMessage="1" errorTitle="Invalid Input!" error="Please enter 0 or 1 only!" promptTitle="Payment's time" prompt="Enter:_x000a_1 for Beggining of year payment_x000a_0 for End of year payment" sqref="C7">
      <formula1>0</formula1>
      <formula2>1</formula2>
    </dataValidation>
    <dataValidation type="whole" allowBlank="1" showInputMessage="1" showErrorMessage="1" errorTitle="Invalid Input" error="Yearly income range must be between: 1,000$ and 1,000,000$" promptTitle="Yearly Income" prompt="Please insert your required yearly income!" sqref="F12">
      <formula1>1000</formula1>
      <formula2>1000000000000</formula2>
    </dataValidation>
    <dataValidation type="decimal" allowBlank="1" showInputMessage="1" showErrorMessage="1" errorTitle="Invalid Input" error="Invalid yearly profit rate!" promptTitle="Yearly profit rate" prompt="Please enter your expected yearly profit rate!" sqref="C10">
      <formula1>0.001</formula1>
      <formula2>10</formula2>
    </dataValidation>
    <dataValidation allowBlank="1" showInputMessage="1" showErrorMessage="1" promptTitle="Inflation Rate" prompt="Please insert the average expected inflation (or deflation) rate!" sqref="C11"/>
    <dataValidation allowBlank="1" showInputMessage="1" showErrorMessage="1" promptTitle="Discount Rate" prompt="Please insert your average expected yearly discount rate!_x000a_This can be any risk free investment that is guaranteed to exist until your retirement age" sqref="C12"/>
    <dataValidation allowBlank="1" errorTitle="Invalid Years Till Retirement" error="Years till retirement must be at least 1 and at most 100!" sqref="F4:F5"/>
    <dataValidation type="whole" allowBlank="1" showInputMessage="1" showErrorMessage="1" errorTitle="Invalid Input!" error="Retirement years must be between 2 and 100 years!" promptTitle="Retirement Years" prompt="Please input your expected retirement years!" sqref="C5">
      <formula1>2</formula1>
      <formula2>100</formula2>
    </dataValidation>
    <dataValidation type="whole" allowBlank="1" showInputMessage="1" showErrorMessage="1" errorTitle="Invalid Input" error="Input must be between 5K dollars and 10M dollars" promptTitle="Discount Rate" prompt="Please insert your average expected yearly discount rate!_x000a_This can be any risk free investment that is guaranteed to exist until your retirement age" sqref="C13">
      <formula1>5000</formula1>
      <formula2>10000000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Spinner 6">
              <controlPr locked="0" defaultSize="0" autoPict="0">
                <anchor moveWithCells="1" sizeWithCells="1">
                  <from>
                    <xdr:col>3</xdr:col>
                    <xdr:colOff>28575</xdr:colOff>
                    <xdr:row>2</xdr:row>
                    <xdr:rowOff>38100</xdr:rowOff>
                  </from>
                  <to>
                    <xdr:col>3</xdr:col>
                    <xdr:colOff>266700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Spinner 7">
              <controlPr locked="0" defaultSize="0" autoPict="0">
                <anchor moveWithCells="1" sizeWithCells="1">
                  <from>
                    <xdr:col>3</xdr:col>
                    <xdr:colOff>28575</xdr:colOff>
                    <xdr:row>3</xdr:row>
                    <xdr:rowOff>38100</xdr:rowOff>
                  </from>
                  <to>
                    <xdr:col>3</xdr:col>
                    <xdr:colOff>266700</xdr:colOff>
                    <xdr:row>3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Spinner 8">
              <controlPr locked="0" defaultSize="0" autoPict="0">
                <anchor moveWithCells="1" sizeWithCells="1">
                  <from>
                    <xdr:col>3</xdr:col>
                    <xdr:colOff>28575</xdr:colOff>
                    <xdr:row>5</xdr:row>
                    <xdr:rowOff>466725</xdr:rowOff>
                  </from>
                  <to>
                    <xdr:col>3</xdr:col>
                    <xdr:colOff>266700</xdr:colOff>
                    <xdr:row>6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7" name="Button 24">
              <controlPr locked="0" defaultSize="0" print="0" autoFill="0" autoPict="0" macro="[0]!goal_seek_nominal_fv">
                <anchor moveWithCells="1" sizeWithCells="1">
                  <from>
                    <xdr:col>6</xdr:col>
                    <xdr:colOff>152400</xdr:colOff>
                    <xdr:row>3</xdr:row>
                    <xdr:rowOff>419100</xdr:rowOff>
                  </from>
                  <to>
                    <xdr:col>9</xdr:col>
                    <xdr:colOff>666750</xdr:colOff>
                    <xdr:row>4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8" name="Button 39">
              <controlPr locked="0" defaultSize="0" print="0" autoFill="0" autoPict="0" macro="[0]!goal_seek_average_income">
                <anchor moveWithCells="1" sizeWithCells="1">
                  <from>
                    <xdr:col>1</xdr:col>
                    <xdr:colOff>5191125</xdr:colOff>
                    <xdr:row>13</xdr:row>
                    <xdr:rowOff>142875</xdr:rowOff>
                  </from>
                  <to>
                    <xdr:col>3</xdr:col>
                    <xdr:colOff>9525</xdr:colOff>
                    <xdr:row>14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9" name="Spinner 41">
              <controlPr locked="0" defaultSize="0" autoPict="0">
                <anchor moveWithCells="1" sizeWithCells="1">
                  <from>
                    <xdr:col>3</xdr:col>
                    <xdr:colOff>38100</xdr:colOff>
                    <xdr:row>3</xdr:row>
                    <xdr:rowOff>609600</xdr:rowOff>
                  </from>
                  <to>
                    <xdr:col>3</xdr:col>
                    <xdr:colOff>257175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0" name="Button 42">
              <controlPr locked="0" defaultSize="0" print="0" autoFill="0" autoPict="0" macro="[0]!reset_workbook">
                <anchor moveWithCells="1" sizeWithCells="1">
                  <from>
                    <xdr:col>6</xdr:col>
                    <xdr:colOff>657225</xdr:colOff>
                    <xdr:row>5</xdr:row>
                    <xdr:rowOff>0</xdr:rowOff>
                  </from>
                  <to>
                    <xdr:col>9</xdr:col>
                    <xdr:colOff>85725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1" name="Button 43">
              <controlPr locked="0" defaultSize="0" print="0" autoFill="0" autoPict="0" macro="[0]!reset_income">
                <anchor moveWithCells="1" sizeWithCells="1">
                  <from>
                    <xdr:col>1</xdr:col>
                    <xdr:colOff>0</xdr:colOff>
                    <xdr:row>13</xdr:row>
                    <xdr:rowOff>161925</xdr:rowOff>
                  </from>
                  <to>
                    <xdr:col>1</xdr:col>
                    <xdr:colOff>1838325</xdr:colOff>
                    <xdr:row>14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12" name="Button 45">
              <controlPr locked="0" defaultSize="0" print="0" autoFill="0" autoPict="0" macro="[0]!solver_depletion">
                <anchor moveWithCells="1" sizeWithCells="1">
                  <from>
                    <xdr:col>6</xdr:col>
                    <xdr:colOff>142875</xdr:colOff>
                    <xdr:row>6</xdr:row>
                    <xdr:rowOff>295275</xdr:rowOff>
                  </from>
                  <to>
                    <xdr:col>9</xdr:col>
                    <xdr:colOff>628650</xdr:colOff>
                    <xdr:row>7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59999389629810485"/>
  </sheetPr>
  <dimension ref="A1:E104"/>
  <sheetViews>
    <sheetView workbookViewId="0">
      <selection activeCell="F12" sqref="F12"/>
    </sheetView>
  </sheetViews>
  <sheetFormatPr defaultRowHeight="15" x14ac:dyDescent="0.25"/>
  <cols>
    <col min="1" max="1" width="10.25" style="5" bestFit="1" customWidth="1"/>
    <col min="2" max="2" width="8.75" style="5" bestFit="1" customWidth="1"/>
    <col min="3" max="3" width="16.75" style="5" bestFit="1" customWidth="1"/>
    <col min="4" max="4" width="11.75" style="16" bestFit="1" customWidth="1"/>
    <col min="5" max="5" width="9.875" bestFit="1" customWidth="1"/>
  </cols>
  <sheetData>
    <row r="1" spans="1:5" x14ac:dyDescent="0.25">
      <c r="A1" s="55" t="s">
        <v>23</v>
      </c>
      <c r="B1" s="55"/>
      <c r="C1" s="55"/>
      <c r="D1" s="55"/>
      <c r="E1" s="14"/>
    </row>
    <row r="2" spans="1:5" x14ac:dyDescent="0.25">
      <c r="A2" s="12" t="s">
        <v>14</v>
      </c>
      <c r="B2" s="12" t="s">
        <v>2</v>
      </c>
      <c r="C2" s="12" t="s">
        <v>28</v>
      </c>
      <c r="D2" s="18" t="s">
        <v>27</v>
      </c>
    </row>
    <row r="3" spans="1:5" x14ac:dyDescent="0.25">
      <c r="A3" s="5">
        <f>input!$F$3+1</f>
        <v>21</v>
      </c>
      <c r="B3" s="5">
        <f>input!$F$4</f>
        <v>2037</v>
      </c>
      <c r="C3" s="23">
        <f t="shared" ref="C3:C34" si="0">IF(A3="","",(required_income_final))</f>
        <v>50000</v>
      </c>
      <c r="D3" s="24">
        <f>IF(A3="","",PV(input!$C$11,A3,,-C3))</f>
        <v>32988.790838630281</v>
      </c>
      <c r="E3" s="17"/>
    </row>
    <row r="4" spans="1:5" x14ac:dyDescent="0.25">
      <c r="A4" s="5">
        <f>IF(A3="","",IF(A3&lt;=input!$F$3+input!$C$5, A3+1, ""))</f>
        <v>22</v>
      </c>
      <c r="B4" s="5">
        <f>IF(B3="", "", IF((B3)&gt;=input!$F$5, "", B3+1))</f>
        <v>2038</v>
      </c>
      <c r="C4" s="23">
        <f t="shared" si="0"/>
        <v>50000</v>
      </c>
      <c r="D4" s="24">
        <f>IF(A4="","",PV(input!$C$11,A4,,-C4))</f>
        <v>32341.951802578707</v>
      </c>
    </row>
    <row r="5" spans="1:5" x14ac:dyDescent="0.25">
      <c r="A5" s="5">
        <f>IF(A4="","",IF(A4&lt;=input!$F$3+input!$C$5, A4+1, ""))</f>
        <v>23</v>
      </c>
      <c r="B5" s="5">
        <f>IF(B4="", "", IF((B4)&gt;=input!$F$5, "", B4+1))</f>
        <v>2039</v>
      </c>
      <c r="C5" s="23">
        <f t="shared" si="0"/>
        <v>50000</v>
      </c>
      <c r="D5" s="24">
        <f>IF(A5="","",PV(input!$C$11,A5,,-C5))</f>
        <v>31707.795884881092</v>
      </c>
    </row>
    <row r="6" spans="1:5" x14ac:dyDescent="0.25">
      <c r="A6" s="5">
        <f>IF(A5="","",IF(A5&lt;=input!$F$3+input!$C$5, A5+1, ""))</f>
        <v>24</v>
      </c>
      <c r="B6" s="5">
        <f>IF(B5="", "", IF((B5)&gt;=input!$F$5, "", B5+1))</f>
        <v>2040</v>
      </c>
      <c r="C6" s="23">
        <f t="shared" si="0"/>
        <v>50000</v>
      </c>
      <c r="D6" s="24">
        <f>IF(A6="","",PV(input!$C$11,A6,,-C6))</f>
        <v>31086.074396942244</v>
      </c>
    </row>
    <row r="7" spans="1:5" x14ac:dyDescent="0.25">
      <c r="A7" s="5">
        <f>IF(A6="","",IF(A6&lt;=input!$F$3+input!$C$5, A6+1, ""))</f>
        <v>25</v>
      </c>
      <c r="B7" s="5">
        <f>IF(B6="", "", IF((B6)&gt;=input!$F$5, "", B6+1))</f>
        <v>2041</v>
      </c>
      <c r="C7" s="23">
        <f t="shared" si="0"/>
        <v>50000</v>
      </c>
      <c r="D7" s="24">
        <f>IF(A7="","",PV(input!$C$11,A7,,-C7))</f>
        <v>30476.543526413967</v>
      </c>
    </row>
    <row r="8" spans="1:5" x14ac:dyDescent="0.25">
      <c r="A8" s="5">
        <f>IF(A7="","",IF(A7&lt;=input!$F$3+input!$C$5, A7+1, ""))</f>
        <v>26</v>
      </c>
      <c r="B8" s="5">
        <f>IF(B7="", "", IF((B7)&gt;=input!$F$5, "", B7+1))</f>
        <v>2042</v>
      </c>
      <c r="C8" s="23">
        <f t="shared" si="0"/>
        <v>50000</v>
      </c>
      <c r="D8" s="24">
        <f>IF(A8="","",PV(input!$C$11,A8,,-C8))</f>
        <v>29878.964241582315</v>
      </c>
    </row>
    <row r="9" spans="1:5" x14ac:dyDescent="0.25">
      <c r="A9" s="5">
        <f>IF(A8="","",IF(A8&lt;=input!$F$3+input!$C$5, A8+1, ""))</f>
        <v>27</v>
      </c>
      <c r="B9" s="5">
        <f>IF(B8="", "", IF((B8)&gt;=input!$F$5, "", B8+1))</f>
        <v>2043</v>
      </c>
      <c r="C9" s="23">
        <f t="shared" si="0"/>
        <v>50000</v>
      </c>
      <c r="D9" s="24">
        <f>IF(A9="","",PV(input!$C$11,A9,,-C9))</f>
        <v>29293.102197629727</v>
      </c>
    </row>
    <row r="10" spans="1:5" x14ac:dyDescent="0.25">
      <c r="A10" s="5">
        <f>IF(A9="","",IF(A9&lt;=input!$F$3+input!$C$5, A9+1, ""))</f>
        <v>28</v>
      </c>
      <c r="B10" s="5">
        <f>IF(B9="", "", IF((B9)&gt;=input!$F$5, "", B9+1))</f>
        <v>2044</v>
      </c>
      <c r="C10" s="23">
        <f t="shared" si="0"/>
        <v>50000</v>
      </c>
      <c r="D10" s="24">
        <f>IF(A10="","",PV(input!$C$11,A10,,-C10))</f>
        <v>28718.72764473502</v>
      </c>
    </row>
    <row r="11" spans="1:5" x14ac:dyDescent="0.25">
      <c r="A11" s="5">
        <f>IF(A10="","",IF(A10&lt;=input!$F$3+input!$C$5, A10+1, ""))</f>
        <v>29</v>
      </c>
      <c r="B11" s="5">
        <f>IF(B10="", "", IF((B10)&gt;=input!$F$5, "", B10+1))</f>
        <v>2045</v>
      </c>
      <c r="C11" s="23">
        <f t="shared" si="0"/>
        <v>50000</v>
      </c>
      <c r="D11" s="24">
        <f>IF(A11="","",PV(input!$C$11,A11,,-C11))</f>
        <v>28155.615337975516</v>
      </c>
    </row>
    <row r="12" spans="1:5" x14ac:dyDescent="0.25">
      <c r="A12" s="5">
        <f>IF(A11="","",IF(A11&lt;=input!$F$3+input!$C$5, A11+1, ""))</f>
        <v>30</v>
      </c>
      <c r="B12" s="5">
        <f>IF(B11="", "", IF((B11)&gt;=input!$F$5, "", B11+1))</f>
        <v>2046</v>
      </c>
      <c r="C12" s="23">
        <f t="shared" si="0"/>
        <v>50000</v>
      </c>
      <c r="D12" s="24">
        <f>IF(A12="","",PV(input!$C$11,A12,,-C12))</f>
        <v>27603.544448995599</v>
      </c>
    </row>
    <row r="13" spans="1:5" x14ac:dyDescent="0.25">
      <c r="A13" s="5">
        <f>IF(A12="","",IF(A12&lt;=input!$F$3+input!$C$5, A12+1, ""))</f>
        <v>31</v>
      </c>
      <c r="B13" s="5">
        <f>IF(B12="", "", IF((B12)&gt;=input!$F$5, "", B12+1))</f>
        <v>2047</v>
      </c>
      <c r="C13" s="23">
        <f t="shared" si="0"/>
        <v>50000</v>
      </c>
      <c r="D13" s="24">
        <f>IF(A13="","",PV(input!$C$11,A13,,-C13))</f>
        <v>27062.298479407458</v>
      </c>
    </row>
    <row r="14" spans="1:5" x14ac:dyDescent="0.25">
      <c r="A14" s="5">
        <f>IF(A13="","",IF(A13&lt;=input!$F$3+input!$C$5, A13+1, ""))</f>
        <v>32</v>
      </c>
      <c r="B14" s="5">
        <f>IF(B13="", "", IF((B13)&gt;=input!$F$5, "", B13+1))</f>
        <v>2048</v>
      </c>
      <c r="C14" s="23">
        <f t="shared" si="0"/>
        <v>50000</v>
      </c>
      <c r="D14" s="24">
        <f>IF(A14="","",PV(input!$C$11,A14,,-C14))</f>
        <v>26531.665175889659</v>
      </c>
    </row>
    <row r="15" spans="1:5" x14ac:dyDescent="0.25">
      <c r="A15" s="5">
        <f>IF(A14="","",IF(A14&lt;=input!$F$3+input!$C$5, A14+1, ""))</f>
        <v>33</v>
      </c>
      <c r="B15" s="5">
        <f>IF(B14="", "", IF((B14)&gt;=input!$F$5, "", B14+1))</f>
        <v>2049</v>
      </c>
      <c r="C15" s="23">
        <f t="shared" si="0"/>
        <v>50000</v>
      </c>
      <c r="D15" s="24">
        <f>IF(A15="","",PV(input!$C$11,A15,,-C15))</f>
        <v>26011.436446950644</v>
      </c>
    </row>
    <row r="16" spans="1:5" x14ac:dyDescent="0.25">
      <c r="A16" s="5">
        <f>IF(A15="","",IF(A15&lt;=input!$F$3+input!$C$5, A15+1, ""))</f>
        <v>34</v>
      </c>
      <c r="B16" s="5">
        <f>IF(B15="", "", IF((B15)&gt;=input!$F$5, "", B15+1))</f>
        <v>2050</v>
      </c>
      <c r="C16" s="23">
        <f t="shared" si="0"/>
        <v>50000</v>
      </c>
      <c r="D16" s="24">
        <f>IF(A16="","",PV(input!$C$11,A16,,-C16))</f>
        <v>25501.408281324162</v>
      </c>
    </row>
    <row r="17" spans="1:4" x14ac:dyDescent="0.25">
      <c r="A17" s="5">
        <f>IF(A16="","",IF(A16&lt;=input!$F$3+input!$C$5, A16+1, ""))</f>
        <v>35</v>
      </c>
      <c r="B17" s="5">
        <f>IF(B16="", "", IF((B16)&gt;=input!$F$5, "", B16+1))</f>
        <v>2051</v>
      </c>
      <c r="C17" s="23">
        <f t="shared" si="0"/>
        <v>50000</v>
      </c>
      <c r="D17" s="24">
        <f>IF(A17="","",PV(input!$C$11,A17,,-C17))</f>
        <v>25001.380667964866</v>
      </c>
    </row>
    <row r="18" spans="1:4" x14ac:dyDescent="0.25">
      <c r="A18" s="5">
        <f>IF(A17="","",IF(A17&lt;=input!$F$3+input!$C$5, A17+1, ""))</f>
        <v>36</v>
      </c>
      <c r="B18" s="5">
        <f>IF(B17="", "", IF((B17)&gt;=input!$F$5, "", B17+1))</f>
        <v>2052</v>
      </c>
      <c r="C18" s="23">
        <f t="shared" si="0"/>
        <v>50000</v>
      </c>
      <c r="D18" s="24">
        <f>IF(A18="","",PV(input!$C$11,A18,,-C18))</f>
        <v>24511.157517612617</v>
      </c>
    </row>
    <row r="19" spans="1:4" x14ac:dyDescent="0.25">
      <c r="A19" s="5">
        <f>IF(A18="","",IF(A18&lt;=input!$F$3+input!$C$5, A18+1, ""))</f>
        <v>37</v>
      </c>
      <c r="B19" s="5">
        <f>IF(B18="", "", IF((B18)&gt;=input!$F$5, "", B18+1))</f>
        <v>2053</v>
      </c>
      <c r="C19" s="23">
        <f t="shared" si="0"/>
        <v>50000</v>
      </c>
      <c r="D19" s="24">
        <f>IF(A19="","",PV(input!$C$11,A19,,-C19))</f>
        <v>24030.546585894717</v>
      </c>
    </row>
    <row r="20" spans="1:4" x14ac:dyDescent="0.25">
      <c r="A20" s="5">
        <f>IF(A19="","",IF(A19&lt;=input!$F$3+input!$C$5, A19+1, ""))</f>
        <v>38</v>
      </c>
      <c r="B20" s="5">
        <f>IF(B19="", "", IF((B19)&gt;=input!$F$5, "", B19+1))</f>
        <v>2054</v>
      </c>
      <c r="C20" s="23">
        <f t="shared" si="0"/>
        <v>50000</v>
      </c>
      <c r="D20" s="24">
        <f>IF(A20="","",PV(input!$C$11,A20,,-C20))</f>
        <v>23559.359397935994</v>
      </c>
    </row>
    <row r="21" spans="1:4" x14ac:dyDescent="0.25">
      <c r="A21" s="5">
        <f>IF(A20="","",IF(A20&lt;=input!$F$3+input!$C$5, A20+1, ""))</f>
        <v>39</v>
      </c>
      <c r="B21" s="5">
        <f>IF(B20="", "", IF((B20)&gt;=input!$F$5, "", B20+1))</f>
        <v>2055</v>
      </c>
      <c r="C21" s="23">
        <f t="shared" si="0"/>
        <v>50000</v>
      </c>
      <c r="D21" s="24">
        <f>IF(A21="","",PV(input!$C$11,A21,,-C21))</f>
        <v>23097.411174447065</v>
      </c>
    </row>
    <row r="22" spans="1:4" x14ac:dyDescent="0.25">
      <c r="A22" s="5">
        <f>IF(A21="","",IF(A21&lt;=input!$F$3+input!$C$5, A21+1, ""))</f>
        <v>40</v>
      </c>
      <c r="B22" s="5">
        <f>IF(B21="", "", IF((B21)&gt;=input!$F$5, "", B21+1))</f>
        <v>2056</v>
      </c>
      <c r="C22" s="23">
        <f t="shared" si="0"/>
        <v>50000</v>
      </c>
      <c r="D22" s="24">
        <f>IF(A22="","",PV(input!$C$11,A22,,-C22))</f>
        <v>22644.520759261821</v>
      </c>
    </row>
    <row r="23" spans="1:4" x14ac:dyDescent="0.25">
      <c r="A23" s="5">
        <f>IF(A22="","",IF(A22&lt;=input!$F$3+input!$C$5, A22+1, ""))</f>
        <v>41</v>
      </c>
      <c r="B23" s="5">
        <f>IF(B22="", "", IF((B22)&gt;=input!$F$5, "", B22+1))</f>
        <v>2057</v>
      </c>
      <c r="C23" s="23">
        <f t="shared" si="0"/>
        <v>50000</v>
      </c>
      <c r="D23" s="24">
        <f>IF(A23="","",PV(input!$C$11,A23,,-C23))</f>
        <v>22200.510548295904</v>
      </c>
    </row>
    <row r="24" spans="1:4" x14ac:dyDescent="0.25">
      <c r="A24" s="5" t="str">
        <f>IF(A23="","",IF(A23&lt;=input!$F$3+input!$C$5, A23+1, ""))</f>
        <v/>
      </c>
      <c r="B24" s="5" t="str">
        <f>IF(B23="", "", IF((B23)&gt;=input!$F$5, "", B23+1))</f>
        <v/>
      </c>
      <c r="C24" s="23" t="str">
        <f t="shared" si="0"/>
        <v/>
      </c>
      <c r="D24" s="24" t="str">
        <f>IF(A24="","",PV(input!$C$11,A24,,-C24))</f>
        <v/>
      </c>
    </row>
    <row r="25" spans="1:4" x14ac:dyDescent="0.25">
      <c r="A25" s="5" t="str">
        <f>IF(A24="","",IF(A24&lt;=input!$F$3+input!$C$5, A24+1, ""))</f>
        <v/>
      </c>
      <c r="B25" s="5" t="str">
        <f>IF(B24="", "", IF((B24)&gt;=input!$F$5, "", B24+1))</f>
        <v/>
      </c>
      <c r="C25" s="23" t="str">
        <f t="shared" si="0"/>
        <v/>
      </c>
      <c r="D25" s="24" t="str">
        <f>IF(A25="","",PV(input!$C$11,A25,,-C25))</f>
        <v/>
      </c>
    </row>
    <row r="26" spans="1:4" x14ac:dyDescent="0.25">
      <c r="A26" s="5" t="str">
        <f>IF(A25="","",IF(A25&lt;=input!$F$3+input!$C$5, A25+1, ""))</f>
        <v/>
      </c>
      <c r="B26" s="5" t="str">
        <f>IF(B25="", "", IF((B25)&gt;=input!$F$5, "", B25+1))</f>
        <v/>
      </c>
      <c r="C26" s="23" t="str">
        <f t="shared" si="0"/>
        <v/>
      </c>
      <c r="D26" s="24" t="str">
        <f>IF(A26="","",PV(input!$C$11,A26,,-C26))</f>
        <v/>
      </c>
    </row>
    <row r="27" spans="1:4" x14ac:dyDescent="0.25">
      <c r="A27" s="5" t="str">
        <f>IF(A26="","",IF(A26&lt;=input!$F$3+input!$C$5, A26+1, ""))</f>
        <v/>
      </c>
      <c r="B27" s="5" t="str">
        <f>IF(B26="", "", IF((B26)&gt;=input!$F$5, "", B26+1))</f>
        <v/>
      </c>
      <c r="C27" s="23" t="str">
        <f t="shared" si="0"/>
        <v/>
      </c>
      <c r="D27" s="24" t="str">
        <f>IF(A27="","",PV(input!$C$11,A27,,-C27))</f>
        <v/>
      </c>
    </row>
    <row r="28" spans="1:4" x14ac:dyDescent="0.25">
      <c r="A28" s="5" t="str">
        <f>IF(A27="","",IF(A27&lt;=input!$F$3+input!$C$5, A27+1, ""))</f>
        <v/>
      </c>
      <c r="B28" s="5" t="str">
        <f>IF(B27="", "", IF((B27)&gt;=input!$F$5, "", B27+1))</f>
        <v/>
      </c>
      <c r="C28" s="23" t="str">
        <f t="shared" si="0"/>
        <v/>
      </c>
      <c r="D28" s="24" t="str">
        <f>IF(A28="","",PV(input!$C$11,A28,,-C28))</f>
        <v/>
      </c>
    </row>
    <row r="29" spans="1:4" x14ac:dyDescent="0.25">
      <c r="A29" s="5" t="str">
        <f>IF(A28="","",IF(A28&lt;=input!$F$3+input!$C$5, A28+1, ""))</f>
        <v/>
      </c>
      <c r="B29" s="5" t="str">
        <f>IF(B28="", "", IF((B28)&gt;=input!$F$5, "", B28+1))</f>
        <v/>
      </c>
      <c r="C29" s="23" t="str">
        <f t="shared" si="0"/>
        <v/>
      </c>
      <c r="D29" s="24" t="str">
        <f>IF(A29="","",PV(input!$C$11,A29,,-C29))</f>
        <v/>
      </c>
    </row>
    <row r="30" spans="1:4" x14ac:dyDescent="0.25">
      <c r="A30" s="5" t="str">
        <f>IF(A29="","",IF(A29&lt;=input!$F$3+input!$C$5, A29+1, ""))</f>
        <v/>
      </c>
      <c r="B30" s="5" t="str">
        <f>IF(B29="", "", IF((B29)&gt;=input!$F$5, "", B29+1))</f>
        <v/>
      </c>
      <c r="C30" s="23" t="str">
        <f t="shared" si="0"/>
        <v/>
      </c>
      <c r="D30" s="24" t="str">
        <f>IF(A30="","",PV(input!$C$11,A30,,-C30))</f>
        <v/>
      </c>
    </row>
    <row r="31" spans="1:4" x14ac:dyDescent="0.25">
      <c r="A31" s="5" t="str">
        <f>IF(A30="","",IF(A30&lt;=input!$F$3+input!$C$5, A30+1, ""))</f>
        <v/>
      </c>
      <c r="B31" s="5" t="str">
        <f>IF(B30="", "", IF((B30)&gt;=input!$F$5, "", B30+1))</f>
        <v/>
      </c>
      <c r="C31" s="23" t="str">
        <f t="shared" si="0"/>
        <v/>
      </c>
      <c r="D31" s="24" t="str">
        <f>IF(A31="","",PV(input!$C$11,A31,,-C31))</f>
        <v/>
      </c>
    </row>
    <row r="32" spans="1:4" x14ac:dyDescent="0.25">
      <c r="A32" s="5" t="str">
        <f>IF(A31="","",IF(A31&lt;=input!$F$3+input!$C$5, A31+1, ""))</f>
        <v/>
      </c>
      <c r="B32" s="5" t="str">
        <f>IF(B31="", "", IF((B31)&gt;=input!$F$5, "", B31+1))</f>
        <v/>
      </c>
      <c r="C32" s="23" t="str">
        <f t="shared" si="0"/>
        <v/>
      </c>
      <c r="D32" s="24" t="str">
        <f>IF(A32="","",PV(input!$C$11,A32,,-C32))</f>
        <v/>
      </c>
    </row>
    <row r="33" spans="1:4" x14ac:dyDescent="0.25">
      <c r="A33" s="5" t="str">
        <f>IF(A32="","",IF(A32&lt;=input!$F$3+input!$C$5, A32+1, ""))</f>
        <v/>
      </c>
      <c r="B33" s="5" t="str">
        <f>IF(B32="", "", IF((B32)&gt;=input!$F$5, "", B32+1))</f>
        <v/>
      </c>
      <c r="C33" s="23" t="str">
        <f t="shared" si="0"/>
        <v/>
      </c>
      <c r="D33" s="24" t="str">
        <f>IF(A33="","",PV(input!$C$11,A33,,-C33))</f>
        <v/>
      </c>
    </row>
    <row r="34" spans="1:4" x14ac:dyDescent="0.25">
      <c r="A34" s="5" t="str">
        <f>IF(A33="","",IF(A33&lt;=input!$F$3+input!$C$5, A33+1, ""))</f>
        <v/>
      </c>
      <c r="B34" s="5" t="str">
        <f>IF(B33="", "", IF((B33)&gt;=input!$F$5, "", B33+1))</f>
        <v/>
      </c>
      <c r="C34" s="23" t="str">
        <f t="shared" si="0"/>
        <v/>
      </c>
      <c r="D34" s="24" t="str">
        <f>IF(A34="","",PV(input!$C$11,A34,,-C34))</f>
        <v/>
      </c>
    </row>
    <row r="35" spans="1:4" x14ac:dyDescent="0.25">
      <c r="A35" s="5" t="str">
        <f>IF(A34="","",IF(A34&lt;=input!$F$3+input!$C$5, A34+1, ""))</f>
        <v/>
      </c>
      <c r="B35" s="5" t="str">
        <f>IF(B34="", "", IF((B34)&gt;=input!$F$5, "", B34+1))</f>
        <v/>
      </c>
      <c r="C35" s="23" t="str">
        <f t="shared" ref="C35:C66" si="1">IF(A35="","",(required_income_final))</f>
        <v/>
      </c>
      <c r="D35" s="24" t="str">
        <f>IF(A35="","",PV(input!$C$11,A35,,-C35))</f>
        <v/>
      </c>
    </row>
    <row r="36" spans="1:4" x14ac:dyDescent="0.25">
      <c r="A36" s="5" t="str">
        <f>IF(A35="","",IF(A35&lt;=input!$F$3+input!$C$5, A35+1, ""))</f>
        <v/>
      </c>
      <c r="B36" s="5" t="str">
        <f>IF(B35="", "", IF((B35)&gt;=input!$F$5, "", B35+1))</f>
        <v/>
      </c>
      <c r="C36" s="23" t="str">
        <f t="shared" si="1"/>
        <v/>
      </c>
      <c r="D36" s="24" t="str">
        <f>IF(A36="","",PV(input!$C$11,A36,,-C36))</f>
        <v/>
      </c>
    </row>
    <row r="37" spans="1:4" x14ac:dyDescent="0.25">
      <c r="A37" s="5" t="str">
        <f>IF(A36="","",IF(A36&lt;=input!$F$3+input!$C$5, A36+1, ""))</f>
        <v/>
      </c>
      <c r="B37" s="5" t="str">
        <f>IF(B36="", "", IF((B36)&gt;=input!$F$5, "", B36+1))</f>
        <v/>
      </c>
      <c r="C37" s="23" t="str">
        <f t="shared" si="1"/>
        <v/>
      </c>
      <c r="D37" s="24" t="str">
        <f>IF(A37="","",PV(input!$C$11,A37,,-C37))</f>
        <v/>
      </c>
    </row>
    <row r="38" spans="1:4" x14ac:dyDescent="0.25">
      <c r="A38" s="5" t="str">
        <f>IF(A37="","",IF(A37&lt;=input!$F$3+input!$C$5, A37+1, ""))</f>
        <v/>
      </c>
      <c r="B38" s="5" t="str">
        <f>IF(B37="", "", IF((B37)&gt;=input!$F$5, "", B37+1))</f>
        <v/>
      </c>
      <c r="C38" s="23" t="str">
        <f t="shared" si="1"/>
        <v/>
      </c>
      <c r="D38" s="24" t="str">
        <f>IF(A38="","",PV(input!$C$11,A38,,-C38))</f>
        <v/>
      </c>
    </row>
    <row r="39" spans="1:4" x14ac:dyDescent="0.25">
      <c r="A39" s="5" t="str">
        <f>IF(A38="","",IF(A38&lt;=input!$F$3+input!$C$5, A38+1, ""))</f>
        <v/>
      </c>
      <c r="B39" s="5" t="str">
        <f>IF(B38="", "", IF((B38)&gt;=input!$F$5, "", B38+1))</f>
        <v/>
      </c>
      <c r="C39" s="23" t="str">
        <f t="shared" si="1"/>
        <v/>
      </c>
      <c r="D39" s="24" t="str">
        <f>IF(A39="","",PV(input!$C$11,A39,,-C39))</f>
        <v/>
      </c>
    </row>
    <row r="40" spans="1:4" x14ac:dyDescent="0.25">
      <c r="A40" s="5" t="str">
        <f>IF(A39="","",IF(A39&lt;=input!$F$3+input!$C$5, A39+1, ""))</f>
        <v/>
      </c>
      <c r="B40" s="5" t="str">
        <f>IF(B39="", "", IF((B39)&gt;=input!$F$5, "", B39+1))</f>
        <v/>
      </c>
      <c r="C40" s="23" t="str">
        <f t="shared" si="1"/>
        <v/>
      </c>
      <c r="D40" s="24" t="str">
        <f>IF(A40="","",PV(input!$C$11,A40,,-C40))</f>
        <v/>
      </c>
    </row>
    <row r="41" spans="1:4" x14ac:dyDescent="0.25">
      <c r="A41" s="5" t="str">
        <f>IF(A40="","",IF(A40&lt;=input!$F$3+input!$C$5, A40+1, ""))</f>
        <v/>
      </c>
      <c r="B41" s="5" t="str">
        <f>IF(B40="", "", IF((B40)&gt;=input!$F$5, "", B40+1))</f>
        <v/>
      </c>
      <c r="C41" s="23" t="str">
        <f t="shared" si="1"/>
        <v/>
      </c>
      <c r="D41" s="24" t="str">
        <f>IF(A41="","",PV(input!$C$11,A41,,-C41))</f>
        <v/>
      </c>
    </row>
    <row r="42" spans="1:4" x14ac:dyDescent="0.25">
      <c r="A42" s="5" t="str">
        <f>IF(A41="","",IF(A41&lt;=input!$F$3+input!$C$5, A41+1, ""))</f>
        <v/>
      </c>
      <c r="B42" s="5" t="str">
        <f>IF(B41="", "", IF((B41)&gt;=input!$F$5, "", B41+1))</f>
        <v/>
      </c>
      <c r="C42" s="23" t="str">
        <f t="shared" si="1"/>
        <v/>
      </c>
      <c r="D42" s="24" t="str">
        <f>IF(A42="","",PV(input!$C$11,A42,,-C42))</f>
        <v/>
      </c>
    </row>
    <row r="43" spans="1:4" x14ac:dyDescent="0.25">
      <c r="A43" s="5" t="str">
        <f>IF(A42="","",IF(A42&lt;=input!$F$3+input!$C$5, A42+1, ""))</f>
        <v/>
      </c>
      <c r="B43" s="5" t="str">
        <f>IF(B42="", "", IF((B42)&gt;=input!$F$5, "", B42+1))</f>
        <v/>
      </c>
      <c r="C43" s="23" t="str">
        <f t="shared" si="1"/>
        <v/>
      </c>
      <c r="D43" s="24" t="str">
        <f>IF(A43="","",PV(input!$C$11,A43,,-C43))</f>
        <v/>
      </c>
    </row>
    <row r="44" spans="1:4" x14ac:dyDescent="0.25">
      <c r="A44" s="5" t="str">
        <f>IF(A43="","",IF(A43&lt;=input!$F$3+input!$C$5, A43+1, ""))</f>
        <v/>
      </c>
      <c r="B44" s="5" t="str">
        <f>IF(B43="", "", IF((B43)&gt;=input!$F$5, "", B43+1))</f>
        <v/>
      </c>
      <c r="C44" s="23" t="str">
        <f t="shared" si="1"/>
        <v/>
      </c>
      <c r="D44" s="24" t="str">
        <f>IF(A44="","",PV(input!$C$11,A44,,-C44))</f>
        <v/>
      </c>
    </row>
    <row r="45" spans="1:4" x14ac:dyDescent="0.25">
      <c r="A45" s="5" t="str">
        <f>IF(A44="","",IF(A44&lt;=input!$F$3+input!$C$5, A44+1, ""))</f>
        <v/>
      </c>
      <c r="B45" s="5" t="str">
        <f>IF(B44="", "", IF((B44)&gt;=input!$F$5, "", B44+1))</f>
        <v/>
      </c>
      <c r="C45" s="23" t="str">
        <f t="shared" si="1"/>
        <v/>
      </c>
      <c r="D45" s="24" t="str">
        <f>IF(A45="","",PV(input!$C$11,A45,,-C45))</f>
        <v/>
      </c>
    </row>
    <row r="46" spans="1:4" x14ac:dyDescent="0.25">
      <c r="A46" s="5" t="str">
        <f>IF(A45="","",IF(A45&lt;=input!$F$3+input!$C$5, A45+1, ""))</f>
        <v/>
      </c>
      <c r="B46" s="5" t="str">
        <f>IF(B45="", "", IF((B45)&gt;=input!$F$5, "", B45+1))</f>
        <v/>
      </c>
      <c r="C46" s="23" t="str">
        <f t="shared" si="1"/>
        <v/>
      </c>
      <c r="D46" s="24" t="str">
        <f>IF(A46="","",PV(input!$C$11,A46,,-C46))</f>
        <v/>
      </c>
    </row>
    <row r="47" spans="1:4" x14ac:dyDescent="0.25">
      <c r="A47" s="5" t="str">
        <f>IF(A46="","",IF(A46&lt;=input!$F$3+input!$C$5, A46+1, ""))</f>
        <v/>
      </c>
      <c r="B47" s="5" t="str">
        <f>IF(B46="", "", IF((B46)&gt;=input!$F$5, "", B46+1))</f>
        <v/>
      </c>
      <c r="C47" s="23" t="str">
        <f t="shared" si="1"/>
        <v/>
      </c>
      <c r="D47" s="24" t="str">
        <f>IF(A47="","",PV(input!$C$11,A47,,-C47))</f>
        <v/>
      </c>
    </row>
    <row r="48" spans="1:4" x14ac:dyDescent="0.25">
      <c r="A48" s="5" t="str">
        <f>IF(A47="","",IF(A47&lt;=input!$F$3+input!$C$5, A47+1, ""))</f>
        <v/>
      </c>
      <c r="B48" s="5" t="str">
        <f>IF(B47="", "", IF((B47)&gt;=input!$F$5, "", B47+1))</f>
        <v/>
      </c>
      <c r="C48" s="23" t="str">
        <f t="shared" si="1"/>
        <v/>
      </c>
      <c r="D48" s="24" t="str">
        <f>IF(A48="","",PV(input!$C$11,A48,,-C48))</f>
        <v/>
      </c>
    </row>
    <row r="49" spans="1:4" x14ac:dyDescent="0.25">
      <c r="A49" s="5" t="str">
        <f>IF(A48="","",IF(A48&lt;=input!$F$3+input!$C$5, A48+1, ""))</f>
        <v/>
      </c>
      <c r="B49" s="5" t="str">
        <f>IF(B48="", "", IF((B48)&gt;=input!$F$5, "", B48+1))</f>
        <v/>
      </c>
      <c r="C49" s="23" t="str">
        <f t="shared" si="1"/>
        <v/>
      </c>
      <c r="D49" s="24" t="str">
        <f>IF(A49="","",PV(input!$C$11,A49,,-C49))</f>
        <v/>
      </c>
    </row>
    <row r="50" spans="1:4" x14ac:dyDescent="0.25">
      <c r="A50" s="5" t="str">
        <f>IF(A49="","",IF(A49&lt;=input!$F$3+input!$C$5, A49+1, ""))</f>
        <v/>
      </c>
      <c r="B50" s="5" t="str">
        <f>IF(B49="", "", IF((B49)&gt;=input!$F$5, "", B49+1))</f>
        <v/>
      </c>
      <c r="C50" s="23" t="str">
        <f t="shared" si="1"/>
        <v/>
      </c>
      <c r="D50" s="24" t="str">
        <f>IF(A50="","",PV(input!$C$11,A50,,-C50))</f>
        <v/>
      </c>
    </row>
    <row r="51" spans="1:4" x14ac:dyDescent="0.25">
      <c r="A51" s="5" t="str">
        <f>IF(A50="","",IF(A50&lt;=input!$F$3+input!$C$5, A50+1, ""))</f>
        <v/>
      </c>
      <c r="B51" s="5" t="str">
        <f>IF(B50="", "", IF((B50)&gt;=input!$F$5, "", B50+1))</f>
        <v/>
      </c>
      <c r="C51" s="23" t="str">
        <f t="shared" si="1"/>
        <v/>
      </c>
      <c r="D51" s="24" t="str">
        <f>IF(A51="","",PV(input!$C$11,A51,,-C51))</f>
        <v/>
      </c>
    </row>
    <row r="52" spans="1:4" x14ac:dyDescent="0.25">
      <c r="A52" s="5" t="str">
        <f>IF(A51="","",IF(A51&lt;=input!$F$3+input!$C$5, A51+1, ""))</f>
        <v/>
      </c>
      <c r="B52" s="5" t="str">
        <f>IF(B51="", "", IF((B51)&gt;=input!$F$5, "", B51+1))</f>
        <v/>
      </c>
      <c r="C52" s="23" t="str">
        <f t="shared" si="1"/>
        <v/>
      </c>
      <c r="D52" s="24" t="str">
        <f>IF(A52="","",PV(input!$C$11,A52,,-C52))</f>
        <v/>
      </c>
    </row>
    <row r="53" spans="1:4" x14ac:dyDescent="0.25">
      <c r="A53" s="5" t="str">
        <f>IF(A52="","",IF(A52&lt;=input!$F$3+input!$C$5, A52+1, ""))</f>
        <v/>
      </c>
      <c r="B53" s="5" t="str">
        <f>IF(B52="", "", IF((B52)&gt;=input!$F$5, "", B52+1))</f>
        <v/>
      </c>
      <c r="C53" s="23" t="str">
        <f t="shared" si="1"/>
        <v/>
      </c>
      <c r="D53" s="24" t="str">
        <f>IF(A53="","",PV(input!$C$11,A53,,-C53))</f>
        <v/>
      </c>
    </row>
    <row r="54" spans="1:4" x14ac:dyDescent="0.25">
      <c r="A54" s="5" t="str">
        <f>IF(A53="","",IF(A53&lt;=input!$F$3+input!$C$5, A53+1, ""))</f>
        <v/>
      </c>
      <c r="B54" s="5" t="str">
        <f>IF(B53="", "", IF((B53)&gt;=input!$F$5, "", B53+1))</f>
        <v/>
      </c>
      <c r="C54" s="23" t="str">
        <f t="shared" si="1"/>
        <v/>
      </c>
      <c r="D54" s="24" t="str">
        <f>IF(A54="","",PV(input!$C$11,A54,,-C54))</f>
        <v/>
      </c>
    </row>
    <row r="55" spans="1:4" x14ac:dyDescent="0.25">
      <c r="A55" s="5" t="str">
        <f>IF(A54="","",IF(A54&lt;=input!$F$3+input!$C$5, A54+1, ""))</f>
        <v/>
      </c>
      <c r="B55" s="5" t="str">
        <f>IF(B54="", "", IF((B54)&gt;=input!$F$5, "", B54+1))</f>
        <v/>
      </c>
      <c r="C55" s="23" t="str">
        <f t="shared" si="1"/>
        <v/>
      </c>
      <c r="D55" s="24" t="str">
        <f>IF(A55="","",PV(input!$C$11,A55,,-C55))</f>
        <v/>
      </c>
    </row>
    <row r="56" spans="1:4" x14ac:dyDescent="0.25">
      <c r="A56" s="5" t="str">
        <f>IF(A55="","",IF(A55&lt;=input!$F$3+input!$C$5, A55+1, ""))</f>
        <v/>
      </c>
      <c r="B56" s="5" t="str">
        <f>IF(B55="", "", IF((B55)&gt;=input!$F$5, "", B55+1))</f>
        <v/>
      </c>
      <c r="C56" s="23" t="str">
        <f t="shared" si="1"/>
        <v/>
      </c>
      <c r="D56" s="24" t="str">
        <f>IF(A56="","",PV(input!$C$11,A56,,-C56))</f>
        <v/>
      </c>
    </row>
    <row r="57" spans="1:4" x14ac:dyDescent="0.25">
      <c r="A57" s="5" t="str">
        <f>IF(A56="","",IF(A56&lt;=input!$F$3+input!$C$5, A56+1, ""))</f>
        <v/>
      </c>
      <c r="B57" s="5" t="str">
        <f>IF(B56="", "", IF((B56)&gt;=input!$F$5, "", B56+1))</f>
        <v/>
      </c>
      <c r="C57" s="23" t="str">
        <f t="shared" si="1"/>
        <v/>
      </c>
      <c r="D57" s="24" t="str">
        <f>IF(A57="","",PV(input!$C$11,A57,,-C57))</f>
        <v/>
      </c>
    </row>
    <row r="58" spans="1:4" x14ac:dyDescent="0.25">
      <c r="A58" s="5" t="str">
        <f>IF(A57="","",IF(A57&lt;=input!$F$3+input!$C$5, A57+1, ""))</f>
        <v/>
      </c>
      <c r="B58" s="5" t="str">
        <f>IF(B57="", "", IF((B57)&gt;=input!$F$5, "", B57+1))</f>
        <v/>
      </c>
      <c r="C58" s="23" t="str">
        <f t="shared" si="1"/>
        <v/>
      </c>
      <c r="D58" s="24" t="str">
        <f>IF(A58="","",PV(input!$C$11,A58,,-C58))</f>
        <v/>
      </c>
    </row>
    <row r="59" spans="1:4" x14ac:dyDescent="0.25">
      <c r="A59" s="5" t="str">
        <f>IF(A58="","",IF(A58&lt;=input!$F$3+input!$C$5, A58+1, ""))</f>
        <v/>
      </c>
      <c r="B59" s="5" t="str">
        <f>IF(B58="", "", IF((B58)&gt;=input!$F$5, "", B58+1))</f>
        <v/>
      </c>
      <c r="C59" s="23" t="str">
        <f t="shared" si="1"/>
        <v/>
      </c>
      <c r="D59" s="24" t="str">
        <f>IF(A59="","",PV(input!$C$11,A59,,-C59))</f>
        <v/>
      </c>
    </row>
    <row r="60" spans="1:4" x14ac:dyDescent="0.25">
      <c r="A60" s="5" t="str">
        <f>IF(A59="","",IF(A59&lt;=input!$F$3+input!$C$5, A59+1, ""))</f>
        <v/>
      </c>
      <c r="B60" s="5" t="str">
        <f>IF(B59="", "", IF((B59)&gt;=input!$F$5, "", B59+1))</f>
        <v/>
      </c>
      <c r="C60" s="23" t="str">
        <f t="shared" si="1"/>
        <v/>
      </c>
      <c r="D60" s="24" t="str">
        <f>IF(A60="","",PV(input!$C$11,A60,,-C60))</f>
        <v/>
      </c>
    </row>
    <row r="61" spans="1:4" x14ac:dyDescent="0.25">
      <c r="A61" s="5" t="str">
        <f>IF(A60="","",IF(A60&lt;=input!$F$3+input!$C$5, A60+1, ""))</f>
        <v/>
      </c>
      <c r="B61" s="5" t="str">
        <f>IF(B60="", "", IF((B60)&gt;=input!$F$5, "", B60+1))</f>
        <v/>
      </c>
      <c r="C61" s="23" t="str">
        <f t="shared" si="1"/>
        <v/>
      </c>
      <c r="D61" s="24" t="str">
        <f>IF(A61="","",PV(input!$C$11,A61,,-C61))</f>
        <v/>
      </c>
    </row>
    <row r="62" spans="1:4" x14ac:dyDescent="0.25">
      <c r="A62" s="5" t="str">
        <f>IF(A61="","",IF(A61&lt;=input!$F$3+input!$C$5, A61+1, ""))</f>
        <v/>
      </c>
      <c r="B62" s="5" t="str">
        <f>IF(B61="", "", IF((B61)&gt;=input!$F$5, "", B61+1))</f>
        <v/>
      </c>
      <c r="C62" s="23" t="str">
        <f t="shared" si="1"/>
        <v/>
      </c>
      <c r="D62" s="24" t="str">
        <f>IF(A62="","",PV(input!$C$11,A62,,-C62))</f>
        <v/>
      </c>
    </row>
    <row r="63" spans="1:4" x14ac:dyDescent="0.25">
      <c r="A63" s="5" t="str">
        <f>IF(A62="","",IF(A62&lt;=input!$F$3+input!$C$5, A62+1, ""))</f>
        <v/>
      </c>
      <c r="B63" s="5" t="str">
        <f>IF(B62="", "", IF((B62)&gt;=input!$F$5, "", B62+1))</f>
        <v/>
      </c>
      <c r="C63" s="23" t="str">
        <f t="shared" si="1"/>
        <v/>
      </c>
      <c r="D63" s="24" t="str">
        <f>IF(A63="","",PV(input!$C$11,A63,,-C63))</f>
        <v/>
      </c>
    </row>
    <row r="64" spans="1:4" x14ac:dyDescent="0.25">
      <c r="A64" s="5" t="str">
        <f>IF(A63="","",IF(A63&lt;=input!$F$3+input!$C$5, A63+1, ""))</f>
        <v/>
      </c>
      <c r="B64" s="5" t="str">
        <f>IF(B63="", "", IF((B63)&gt;=input!$F$5, "", B63+1))</f>
        <v/>
      </c>
      <c r="C64" s="23" t="str">
        <f t="shared" si="1"/>
        <v/>
      </c>
      <c r="D64" s="24" t="str">
        <f>IF(A64="","",PV(input!$C$11,A64,,-C64))</f>
        <v/>
      </c>
    </row>
    <row r="65" spans="1:4" x14ac:dyDescent="0.25">
      <c r="A65" s="5" t="str">
        <f>IF(A64="","",IF(A64&lt;=input!$F$3+input!$C$5, A64+1, ""))</f>
        <v/>
      </c>
      <c r="B65" s="5" t="str">
        <f>IF(B64="", "", IF((B64)&gt;=input!$F$5, "", B64+1))</f>
        <v/>
      </c>
      <c r="C65" s="23" t="str">
        <f t="shared" si="1"/>
        <v/>
      </c>
      <c r="D65" s="24" t="str">
        <f>IF(A65="","",PV(input!$C$11,A65,,-C65))</f>
        <v/>
      </c>
    </row>
    <row r="66" spans="1:4" x14ac:dyDescent="0.25">
      <c r="A66" s="5" t="str">
        <f>IF(A65="","",IF(A65&lt;=input!$F$3+input!$C$5, A65+1, ""))</f>
        <v/>
      </c>
      <c r="B66" s="5" t="str">
        <f>IF(B65="", "", IF((B65)&gt;=input!$F$5, "", B65+1))</f>
        <v/>
      </c>
      <c r="C66" s="23" t="str">
        <f t="shared" si="1"/>
        <v/>
      </c>
      <c r="D66" s="24" t="str">
        <f>IF(A66="","",PV(input!$C$11,A66,,-C66))</f>
        <v/>
      </c>
    </row>
    <row r="67" spans="1:4" x14ac:dyDescent="0.25">
      <c r="A67" s="5" t="str">
        <f>IF(A66="","",IF(A66&lt;=input!$F$3+input!$C$5, A66+1, ""))</f>
        <v/>
      </c>
      <c r="B67" s="5" t="str">
        <f>IF(B66="", "", IF((B66)&gt;=input!$F$5, "", B66+1))</f>
        <v/>
      </c>
      <c r="C67" s="23" t="str">
        <f t="shared" ref="C67:C103" si="2">IF(A67="","",(required_income_final))</f>
        <v/>
      </c>
      <c r="D67" s="24" t="str">
        <f>IF(A67="","",PV(input!$C$11,A67,,-C67))</f>
        <v/>
      </c>
    </row>
    <row r="68" spans="1:4" x14ac:dyDescent="0.25">
      <c r="A68" s="5" t="str">
        <f>IF(A67="","",IF(A67&lt;=input!$F$3+input!$C$5, A67+1, ""))</f>
        <v/>
      </c>
      <c r="B68" s="5" t="str">
        <f>IF(B67="", "", IF((B67)&gt;=input!$F$5, "", B67+1))</f>
        <v/>
      </c>
      <c r="C68" s="23" t="str">
        <f t="shared" si="2"/>
        <v/>
      </c>
      <c r="D68" s="24" t="str">
        <f>IF(A68="","",PV(input!$C$11,A68,,-C68))</f>
        <v/>
      </c>
    </row>
    <row r="69" spans="1:4" x14ac:dyDescent="0.25">
      <c r="A69" s="5" t="str">
        <f>IF(A68="","",IF(A68&lt;=input!$F$3+input!$C$5, A68+1, ""))</f>
        <v/>
      </c>
      <c r="B69" s="5" t="str">
        <f>IF(B68="", "", IF((B68)&gt;=input!$F$5, "", B68+1))</f>
        <v/>
      </c>
      <c r="C69" s="23" t="str">
        <f t="shared" si="2"/>
        <v/>
      </c>
      <c r="D69" s="24" t="str">
        <f>IF(A69="","",PV(input!$C$11,A69,,-C69))</f>
        <v/>
      </c>
    </row>
    <row r="70" spans="1:4" x14ac:dyDescent="0.25">
      <c r="A70" s="5" t="str">
        <f>IF(A69="","",IF(A69&lt;=input!$F$3+input!$C$5, A69+1, ""))</f>
        <v/>
      </c>
      <c r="B70" s="5" t="str">
        <f>IF(B69="", "", IF((B69)&gt;=input!$F$5, "", B69+1))</f>
        <v/>
      </c>
      <c r="C70" s="23" t="str">
        <f t="shared" si="2"/>
        <v/>
      </c>
      <c r="D70" s="24" t="str">
        <f>IF(A70="","",PV(input!$C$11,A70,,-C70))</f>
        <v/>
      </c>
    </row>
    <row r="71" spans="1:4" x14ac:dyDescent="0.25">
      <c r="A71" s="5" t="str">
        <f>IF(A70="","",IF(A70&lt;=input!$F$3+input!$C$5, A70+1, ""))</f>
        <v/>
      </c>
      <c r="B71" s="5" t="str">
        <f>IF(B70="", "", IF((B70)&gt;=input!$F$5, "", B70+1))</f>
        <v/>
      </c>
      <c r="C71" s="23" t="str">
        <f t="shared" si="2"/>
        <v/>
      </c>
      <c r="D71" s="24" t="str">
        <f>IF(A71="","",PV(input!$C$11,A71,,-C71))</f>
        <v/>
      </c>
    </row>
    <row r="72" spans="1:4" x14ac:dyDescent="0.25">
      <c r="A72" s="5" t="str">
        <f>IF(A71="","",IF(A71&lt;=input!$F$3+input!$C$5, A71+1, ""))</f>
        <v/>
      </c>
      <c r="B72" s="5" t="str">
        <f>IF(B71="", "", IF((B71)&gt;=input!$F$5, "", B71+1))</f>
        <v/>
      </c>
      <c r="C72" s="23" t="str">
        <f t="shared" si="2"/>
        <v/>
      </c>
      <c r="D72" s="24" t="str">
        <f>IF(A72="","",PV(input!$C$11,A72,,-C72))</f>
        <v/>
      </c>
    </row>
    <row r="73" spans="1:4" x14ac:dyDescent="0.25">
      <c r="A73" s="5" t="str">
        <f>IF(A72="","",IF(A72&lt;=input!$F$3+input!$C$5, A72+1, ""))</f>
        <v/>
      </c>
      <c r="B73" s="5" t="str">
        <f>IF(B72="", "", IF((B72)&gt;=input!$F$5, "", B72+1))</f>
        <v/>
      </c>
      <c r="C73" s="23" t="str">
        <f t="shared" si="2"/>
        <v/>
      </c>
      <c r="D73" s="24" t="str">
        <f>IF(A73="","",PV(input!$C$11,A73,,-C73))</f>
        <v/>
      </c>
    </row>
    <row r="74" spans="1:4" x14ac:dyDescent="0.25">
      <c r="A74" s="5" t="str">
        <f>IF(A73="","",IF(A73&lt;=input!$F$3+input!$C$5, A73+1, ""))</f>
        <v/>
      </c>
      <c r="B74" s="5" t="str">
        <f>IF(B73="", "", IF((B73)&gt;=input!$F$5, "", B73+1))</f>
        <v/>
      </c>
      <c r="C74" s="23" t="str">
        <f t="shared" si="2"/>
        <v/>
      </c>
      <c r="D74" s="24" t="str">
        <f>IF(A74="","",PV(input!$C$11,A74,,-C74))</f>
        <v/>
      </c>
    </row>
    <row r="75" spans="1:4" x14ac:dyDescent="0.25">
      <c r="A75" s="5" t="str">
        <f>IF(A74="","",IF(A74&lt;=input!$F$3+input!$C$5, A74+1, ""))</f>
        <v/>
      </c>
      <c r="B75" s="5" t="str">
        <f>IF(B74="", "", IF((B74)&gt;=input!$F$5, "", B74+1))</f>
        <v/>
      </c>
      <c r="C75" s="23" t="str">
        <f t="shared" si="2"/>
        <v/>
      </c>
      <c r="D75" s="24" t="str">
        <f>IF(A75="","",PV(input!$C$11,A75,,-C75))</f>
        <v/>
      </c>
    </row>
    <row r="76" spans="1:4" x14ac:dyDescent="0.25">
      <c r="A76" s="5" t="str">
        <f>IF(A75="","",IF(A75&lt;=input!$F$3+input!$C$5, A75+1, ""))</f>
        <v/>
      </c>
      <c r="B76" s="5" t="str">
        <f>IF(B75="", "", IF((B75)&gt;=input!$F$5, "", B75+1))</f>
        <v/>
      </c>
      <c r="C76" s="23" t="str">
        <f t="shared" si="2"/>
        <v/>
      </c>
      <c r="D76" s="24" t="str">
        <f>IF(A76="","",PV(input!$C$11,A76,,-C76))</f>
        <v/>
      </c>
    </row>
    <row r="77" spans="1:4" x14ac:dyDescent="0.25">
      <c r="A77" s="5" t="str">
        <f>IF(A76="","",IF(A76&lt;=input!$F$3+input!$C$5, A76+1, ""))</f>
        <v/>
      </c>
      <c r="B77" s="5" t="str">
        <f>IF(B76="", "", IF((B76)&gt;=input!$F$5, "", B76+1))</f>
        <v/>
      </c>
      <c r="C77" s="23" t="str">
        <f t="shared" si="2"/>
        <v/>
      </c>
      <c r="D77" s="24" t="str">
        <f>IF(A77="","",PV(input!$C$11,A77,,-C77))</f>
        <v/>
      </c>
    </row>
    <row r="78" spans="1:4" x14ac:dyDescent="0.25">
      <c r="A78" s="5" t="str">
        <f>IF(A77="","",IF(A77&lt;=input!$F$3+input!$C$5, A77+1, ""))</f>
        <v/>
      </c>
      <c r="B78" s="5" t="str">
        <f>IF(B77="", "", IF((B77)&gt;=input!$F$5, "", B77+1))</f>
        <v/>
      </c>
      <c r="C78" s="23" t="str">
        <f t="shared" si="2"/>
        <v/>
      </c>
      <c r="D78" s="24" t="str">
        <f>IF(A78="","",PV(input!$C$11,A78,,-C78))</f>
        <v/>
      </c>
    </row>
    <row r="79" spans="1:4" x14ac:dyDescent="0.25">
      <c r="A79" s="5" t="str">
        <f>IF(A78="","",IF(A78&lt;=input!$F$3+input!$C$5, A78+1, ""))</f>
        <v/>
      </c>
      <c r="B79" s="5" t="str">
        <f>IF(B78="", "", IF((B78)&gt;=input!$F$5, "", B78+1))</f>
        <v/>
      </c>
      <c r="C79" s="23" t="str">
        <f t="shared" si="2"/>
        <v/>
      </c>
      <c r="D79" s="24" t="str">
        <f>IF(A79="","",PV(input!$C$11,A79,,-C79))</f>
        <v/>
      </c>
    </row>
    <row r="80" spans="1:4" x14ac:dyDescent="0.25">
      <c r="A80" s="5" t="str">
        <f>IF(A79="","",IF(A79&lt;=input!$F$3+input!$C$5, A79+1, ""))</f>
        <v/>
      </c>
      <c r="B80" s="5" t="str">
        <f>IF(B79="", "", IF((B79)&gt;=input!$F$5, "", B79+1))</f>
        <v/>
      </c>
      <c r="C80" s="23" t="str">
        <f t="shared" si="2"/>
        <v/>
      </c>
      <c r="D80" s="24" t="str">
        <f>IF(A80="","",PV(input!$C$11,A80,,-C80))</f>
        <v/>
      </c>
    </row>
    <row r="81" spans="1:4" x14ac:dyDescent="0.25">
      <c r="A81" s="5" t="str">
        <f>IF(A80="","",IF(A80&lt;=input!$F$3+input!$C$5, A80+1, ""))</f>
        <v/>
      </c>
      <c r="B81" s="5" t="str">
        <f>IF(B80="", "", IF((B80)&gt;=input!$F$5, "", B80+1))</f>
        <v/>
      </c>
      <c r="C81" s="23" t="str">
        <f t="shared" si="2"/>
        <v/>
      </c>
      <c r="D81" s="24" t="str">
        <f>IF(A81="","",PV(input!$C$11,A81,,-C81))</f>
        <v/>
      </c>
    </row>
    <row r="82" spans="1:4" x14ac:dyDescent="0.25">
      <c r="A82" s="5" t="str">
        <f>IF(A81="","",IF(A81&lt;=input!$F$3+input!$C$5, A81+1, ""))</f>
        <v/>
      </c>
      <c r="B82" s="5" t="str">
        <f>IF(B81="", "", IF((B81)&gt;=input!$F$5, "", B81+1))</f>
        <v/>
      </c>
      <c r="C82" s="23" t="str">
        <f t="shared" si="2"/>
        <v/>
      </c>
      <c r="D82" s="24" t="str">
        <f>IF(A82="","",PV(input!$C$11,A82,,-C82))</f>
        <v/>
      </c>
    </row>
    <row r="83" spans="1:4" x14ac:dyDescent="0.25">
      <c r="A83" s="5" t="str">
        <f>IF(A82="","",IF(A82&lt;=input!$F$3+input!$C$5, A82+1, ""))</f>
        <v/>
      </c>
      <c r="B83" s="5" t="str">
        <f>IF(B82="", "", IF((B82)&gt;=input!$F$5, "", B82+1))</f>
        <v/>
      </c>
      <c r="C83" s="23" t="str">
        <f t="shared" si="2"/>
        <v/>
      </c>
      <c r="D83" s="24" t="str">
        <f>IF(A83="","",PV(input!$C$11,A83,,-C83))</f>
        <v/>
      </c>
    </row>
    <row r="84" spans="1:4" x14ac:dyDescent="0.25">
      <c r="A84" s="5" t="str">
        <f>IF(A83="","",IF(A83&lt;=input!$F$3+input!$C$5, A83+1, ""))</f>
        <v/>
      </c>
      <c r="B84" s="5" t="str">
        <f>IF(B83="", "", IF((B83)&gt;=input!$F$5, "", B83+1))</f>
        <v/>
      </c>
      <c r="C84" s="23" t="str">
        <f t="shared" si="2"/>
        <v/>
      </c>
      <c r="D84" s="24" t="str">
        <f>IF(A84="","",PV(input!$C$11,A84,,-C84))</f>
        <v/>
      </c>
    </row>
    <row r="85" spans="1:4" x14ac:dyDescent="0.25">
      <c r="A85" s="5" t="str">
        <f>IF(A84="","",IF(A84&lt;=input!$F$3+input!$C$5, A84+1, ""))</f>
        <v/>
      </c>
      <c r="B85" s="5" t="str">
        <f>IF(B84="", "", IF((B84)&gt;=input!$F$5, "", B84+1))</f>
        <v/>
      </c>
      <c r="C85" s="23" t="str">
        <f t="shared" si="2"/>
        <v/>
      </c>
      <c r="D85" s="24" t="str">
        <f>IF(A85="","",PV(input!$C$11,A85,,-C85))</f>
        <v/>
      </c>
    </row>
    <row r="86" spans="1:4" x14ac:dyDescent="0.25">
      <c r="A86" s="5" t="str">
        <f>IF(A85="","",IF(A85&lt;=input!$F$3+input!$C$5, A85+1, ""))</f>
        <v/>
      </c>
      <c r="B86" s="5" t="str">
        <f>IF(B85="", "", IF((B85)&gt;=input!$F$5, "", B85+1))</f>
        <v/>
      </c>
      <c r="C86" s="23" t="str">
        <f t="shared" si="2"/>
        <v/>
      </c>
      <c r="D86" s="24" t="str">
        <f>IF(A86="","",PV(input!$C$11,A86,,-C86))</f>
        <v/>
      </c>
    </row>
    <row r="87" spans="1:4" x14ac:dyDescent="0.25">
      <c r="A87" s="5" t="str">
        <f>IF(A86="","",IF(A86&lt;=input!$F$3+input!$C$5, A86+1, ""))</f>
        <v/>
      </c>
      <c r="B87" s="5" t="str">
        <f>IF(B86="", "", IF((B86)&gt;=input!$F$5, "", B86+1))</f>
        <v/>
      </c>
      <c r="C87" s="23" t="str">
        <f t="shared" si="2"/>
        <v/>
      </c>
      <c r="D87" s="24" t="str">
        <f>IF(A87="","",PV(input!$C$11,A87,,-C87))</f>
        <v/>
      </c>
    </row>
    <row r="88" spans="1:4" x14ac:dyDescent="0.25">
      <c r="A88" s="5" t="str">
        <f>IF(A87="","",IF(A87&lt;=input!$F$3+input!$C$5, A87+1, ""))</f>
        <v/>
      </c>
      <c r="B88" s="5" t="str">
        <f>IF(B87="", "", IF((B87)&gt;=input!$F$5, "", B87+1))</f>
        <v/>
      </c>
      <c r="C88" s="23" t="str">
        <f t="shared" si="2"/>
        <v/>
      </c>
      <c r="D88" s="24" t="str">
        <f>IF(A88="","",PV(input!$C$11,A88,,-C88))</f>
        <v/>
      </c>
    </row>
    <row r="89" spans="1:4" x14ac:dyDescent="0.25">
      <c r="A89" s="5" t="str">
        <f>IF(A88="","",IF(A88&lt;=input!$F$3+input!$C$5, A88+1, ""))</f>
        <v/>
      </c>
      <c r="B89" s="5" t="str">
        <f>IF(B88="", "", IF((B88)&gt;=input!$F$5, "", B88+1))</f>
        <v/>
      </c>
      <c r="C89" s="23" t="str">
        <f t="shared" si="2"/>
        <v/>
      </c>
      <c r="D89" s="24" t="str">
        <f>IF(A89="","",PV(input!$C$11,A89,,-C89))</f>
        <v/>
      </c>
    </row>
    <row r="90" spans="1:4" x14ac:dyDescent="0.25">
      <c r="A90" s="5" t="str">
        <f>IF(A89="","",IF(A89&lt;=input!$F$3+input!$C$5, A89+1, ""))</f>
        <v/>
      </c>
      <c r="B90" s="5" t="str">
        <f>IF(B89="", "", IF((B89)&gt;=input!$F$5, "", B89+1))</f>
        <v/>
      </c>
      <c r="C90" s="23" t="str">
        <f t="shared" si="2"/>
        <v/>
      </c>
      <c r="D90" s="24" t="str">
        <f>IF(A90="","",PV(input!$C$11,A90,,-C90))</f>
        <v/>
      </c>
    </row>
    <row r="91" spans="1:4" x14ac:dyDescent="0.25">
      <c r="A91" s="5" t="str">
        <f>IF(A90="","",IF(A90&lt;=input!$F$3+input!$C$5, A90+1, ""))</f>
        <v/>
      </c>
      <c r="B91" s="5" t="str">
        <f>IF(B90="", "", IF((B90)&gt;=input!$F$5, "", B90+1))</f>
        <v/>
      </c>
      <c r="C91" s="23" t="str">
        <f t="shared" si="2"/>
        <v/>
      </c>
      <c r="D91" s="24" t="str">
        <f>IF(A91="","",PV(input!$C$11,A91,,-C91))</f>
        <v/>
      </c>
    </row>
    <row r="92" spans="1:4" x14ac:dyDescent="0.25">
      <c r="A92" s="5" t="str">
        <f>IF(A91="","",IF(A91&lt;=input!$F$3+input!$C$5, A91+1, ""))</f>
        <v/>
      </c>
      <c r="B92" s="5" t="str">
        <f>IF(B91="", "", IF((B91)&gt;=input!$F$5, "", B91+1))</f>
        <v/>
      </c>
      <c r="C92" s="23" t="str">
        <f t="shared" si="2"/>
        <v/>
      </c>
      <c r="D92" s="24" t="str">
        <f>IF(A92="","",PV(input!$C$11,A92,,-C92))</f>
        <v/>
      </c>
    </row>
    <row r="93" spans="1:4" x14ac:dyDescent="0.25">
      <c r="A93" s="5" t="str">
        <f>IF(A92="","",IF(A92&lt;=input!$F$3+input!$C$5, A92+1, ""))</f>
        <v/>
      </c>
      <c r="B93" s="5" t="str">
        <f>IF(B92="", "", IF((B92)&gt;=input!$F$5, "", B92+1))</f>
        <v/>
      </c>
      <c r="C93" s="23" t="str">
        <f t="shared" si="2"/>
        <v/>
      </c>
      <c r="D93" s="24" t="str">
        <f>IF(A93="","",PV(input!$C$11,A93,,-C93))</f>
        <v/>
      </c>
    </row>
    <row r="94" spans="1:4" x14ac:dyDescent="0.25">
      <c r="A94" s="5" t="str">
        <f>IF(A93="","",IF(A93&lt;=input!$F$3+input!$C$5, A93+1, ""))</f>
        <v/>
      </c>
      <c r="B94" s="5" t="str">
        <f>IF(B93="", "", IF((B93)&gt;=input!$F$5, "", B93+1))</f>
        <v/>
      </c>
      <c r="C94" s="23" t="str">
        <f t="shared" si="2"/>
        <v/>
      </c>
      <c r="D94" s="24" t="str">
        <f>IF(A94="","",PV(input!$C$11,A94,,-C94))</f>
        <v/>
      </c>
    </row>
    <row r="95" spans="1:4" x14ac:dyDescent="0.25">
      <c r="A95" s="5" t="str">
        <f>IF(A94="","",IF(A94&lt;=input!$F$3+input!$C$5, A94+1, ""))</f>
        <v/>
      </c>
      <c r="B95" s="5" t="str">
        <f>IF(B94="", "", IF((B94)&gt;=input!$F$5, "", B94+1))</f>
        <v/>
      </c>
      <c r="C95" s="23" t="str">
        <f t="shared" si="2"/>
        <v/>
      </c>
      <c r="D95" s="24" t="str">
        <f>IF(A95="","",PV(input!$C$11,A95,,-C95))</f>
        <v/>
      </c>
    </row>
    <row r="96" spans="1:4" x14ac:dyDescent="0.25">
      <c r="A96" s="5" t="str">
        <f>IF(A95="","",IF(A95&lt;=input!$F$3+input!$C$5, A95+1, ""))</f>
        <v/>
      </c>
      <c r="B96" s="5" t="str">
        <f>IF(B95="", "", IF((B95)&gt;=input!$F$5, "", B95+1))</f>
        <v/>
      </c>
      <c r="C96" s="23" t="str">
        <f t="shared" si="2"/>
        <v/>
      </c>
      <c r="D96" s="24" t="str">
        <f>IF(A96="","",PV(input!$C$11,A96,,-C96))</f>
        <v/>
      </c>
    </row>
    <row r="97" spans="1:5" x14ac:dyDescent="0.25">
      <c r="A97" s="5" t="str">
        <f>IF(A96="","",IF(A96&lt;=input!$F$3+input!$C$5, A96+1, ""))</f>
        <v/>
      </c>
      <c r="B97" s="5" t="str">
        <f>IF(B96="", "", IF((B96)&gt;=input!$F$5, "", B96+1))</f>
        <v/>
      </c>
      <c r="C97" s="23" t="str">
        <f t="shared" si="2"/>
        <v/>
      </c>
      <c r="D97" s="24" t="str">
        <f>IF(A97="","",PV(input!$C$11,A97,,-C97))</f>
        <v/>
      </c>
    </row>
    <row r="98" spans="1:5" x14ac:dyDescent="0.25">
      <c r="A98" s="5" t="str">
        <f>IF(A97="","",IF(A97&lt;=input!$F$3+input!$C$5, A97+1, ""))</f>
        <v/>
      </c>
      <c r="B98" s="5" t="str">
        <f>IF(B97="", "", IF((B97)&gt;=input!$F$5, "", B97+1))</f>
        <v/>
      </c>
      <c r="C98" s="23" t="str">
        <f t="shared" si="2"/>
        <v/>
      </c>
      <c r="D98" s="24" t="str">
        <f>IF(A98="","",PV(input!$C$11,A98,,-C98))</f>
        <v/>
      </c>
    </row>
    <row r="99" spans="1:5" x14ac:dyDescent="0.25">
      <c r="A99" s="5" t="str">
        <f>IF(A98="","",IF(A98&lt;=input!$F$3+input!$C$5, A98+1, ""))</f>
        <v/>
      </c>
      <c r="B99" s="5" t="str">
        <f>IF(B98="", "", IF((B98)&gt;=input!$F$5, "", B98+1))</f>
        <v/>
      </c>
      <c r="C99" s="23" t="str">
        <f t="shared" si="2"/>
        <v/>
      </c>
      <c r="D99" s="24" t="str">
        <f>IF(A99="","",PV(input!$C$11,A99,,-C99))</f>
        <v/>
      </c>
    </row>
    <row r="100" spans="1:5" x14ac:dyDescent="0.25">
      <c r="A100" s="5" t="str">
        <f>IF(A99="","",IF(A99&lt;=input!$F$3+input!$C$5, A99+1, ""))</f>
        <v/>
      </c>
      <c r="B100" s="5" t="str">
        <f>IF(B99="", "", IF((B99)&gt;=input!$F$5, "", B99+1))</f>
        <v/>
      </c>
      <c r="C100" s="23" t="str">
        <f t="shared" si="2"/>
        <v/>
      </c>
      <c r="D100" s="24" t="str">
        <f>IF(A100="","",PV(input!$C$11,A100,,-C100))</f>
        <v/>
      </c>
    </row>
    <row r="101" spans="1:5" x14ac:dyDescent="0.25">
      <c r="A101" s="5" t="str">
        <f>IF(A100="","",IF(A100&lt;=input!$F$3+input!$C$5, A100+1, ""))</f>
        <v/>
      </c>
      <c r="B101" s="5" t="str">
        <f>IF(B100="", "", IF((B100)&gt;=input!$F$5, "", B100+1))</f>
        <v/>
      </c>
      <c r="C101" s="23" t="str">
        <f t="shared" si="2"/>
        <v/>
      </c>
      <c r="D101" s="24" t="str">
        <f>IF(A101="","",PV(input!$C$11,A101,,-C101))</f>
        <v/>
      </c>
    </row>
    <row r="102" spans="1:5" x14ac:dyDescent="0.25">
      <c r="A102" s="5" t="str">
        <f>IF(A101="","",IF(A101&lt;=input!$F$3+input!$C$5, A101+1, ""))</f>
        <v/>
      </c>
      <c r="B102" s="5" t="str">
        <f>IF(B101="", "", IF((B101)&gt;=input!$F$5, "", B101+1))</f>
        <v/>
      </c>
      <c r="C102" s="23" t="str">
        <f t="shared" si="2"/>
        <v/>
      </c>
      <c r="D102" s="24" t="str">
        <f>IF(A102="","",PV(input!$C$11,A102,,-C102))</f>
        <v/>
      </c>
    </row>
    <row r="103" spans="1:5" x14ac:dyDescent="0.25">
      <c r="A103" s="5" t="str">
        <f>IF(A102="","",IF(A102&lt;=input!$F$3+input!$C$5, A102+1, ""))</f>
        <v/>
      </c>
      <c r="B103" s="5" t="str">
        <f>IF(B102="", "", IF((B102)&gt;=input!$F$5, "", B102+1))</f>
        <v/>
      </c>
      <c r="C103" s="23" t="str">
        <f t="shared" si="2"/>
        <v/>
      </c>
      <c r="D103" s="24" t="str">
        <f>IF(A103="","",PV(input!$C$11,A103,,-C103))</f>
        <v/>
      </c>
    </row>
    <row r="104" spans="1:5" x14ac:dyDescent="0.25">
      <c r="A104" s="8" t="s">
        <v>11</v>
      </c>
      <c r="B104" s="8" t="s">
        <v>11</v>
      </c>
      <c r="C104" s="8" t="s">
        <v>11</v>
      </c>
      <c r="D104" s="8" t="s">
        <v>11</v>
      </c>
      <c r="E104" s="15"/>
    </row>
  </sheetData>
  <sheetProtection sheet="1" objects="1" scenarios="1"/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2"/>
  </sheetPr>
  <dimension ref="A1:D106"/>
  <sheetViews>
    <sheetView workbookViewId="0">
      <selection activeCell="D3" sqref="D3"/>
    </sheetView>
  </sheetViews>
  <sheetFormatPr defaultRowHeight="15" x14ac:dyDescent="0.25"/>
  <cols>
    <col min="1" max="1" width="8.125" style="11" customWidth="1"/>
    <col min="2" max="2" width="6.625" style="11" customWidth="1"/>
    <col min="3" max="3" width="12.625" style="10" bestFit="1" customWidth="1"/>
    <col min="4" max="4" width="12.75" style="10" bestFit="1" customWidth="1"/>
  </cols>
  <sheetData>
    <row r="1" spans="1:4" x14ac:dyDescent="0.25">
      <c r="A1" s="56" t="s">
        <v>4</v>
      </c>
      <c r="B1" s="56"/>
      <c r="C1" s="56"/>
      <c r="D1" s="56"/>
    </row>
    <row r="2" spans="1:4" x14ac:dyDescent="0.25">
      <c r="A2" s="12" t="s">
        <v>14</v>
      </c>
      <c r="B2" s="12" t="s">
        <v>2</v>
      </c>
      <c r="C2" s="12" t="s">
        <v>3</v>
      </c>
      <c r="D2" s="12" t="s">
        <v>47</v>
      </c>
    </row>
    <row r="3" spans="1:4" x14ac:dyDescent="0.25">
      <c r="A3" s="5">
        <v>1</v>
      </c>
      <c r="B3" s="5">
        <f>starting_year</f>
        <v>2017</v>
      </c>
      <c r="C3" s="23">
        <f>IF(A3 = "", "", FV(input!$C$10,A3,-input!$F$16,,input!$C$7))</f>
        <v>62026.179328098668</v>
      </c>
      <c r="D3" s="23">
        <f>IF(A3 = "", "", PV(input!$C$12,A3,,-C3,input!$C$7))</f>
        <v>61412.058740691748</v>
      </c>
    </row>
    <row r="4" spans="1:4" x14ac:dyDescent="0.25">
      <c r="A4" s="6">
        <f>IF(input!$F$3&gt;A3,A3+1,"")</f>
        <v>2</v>
      </c>
      <c r="B4" s="6">
        <f t="shared" ref="B4:B35" si="0">IF(A4="","",(B3+1))</f>
        <v>2018</v>
      </c>
      <c r="C4" s="23">
        <f>IF(A4 = "", "", FV(input!$C$10,A4,-input!$F$16,,input!$C$7))</f>
        <v>125913.1440360401</v>
      </c>
      <c r="D4" s="23">
        <f>IF(A4 = "", "", PV(input!$C$12,A4,,-C4,input!$C$7))</f>
        <v>123432.15766693471</v>
      </c>
    </row>
    <row r="5" spans="1:4" x14ac:dyDescent="0.25">
      <c r="A5" s="6">
        <f>IF(input!$F$3&gt;A4,A4+1,"")</f>
        <v>3</v>
      </c>
      <c r="B5" s="6">
        <f t="shared" si="0"/>
        <v>2019</v>
      </c>
      <c r="C5" s="23">
        <f>IF(A5 = "", "", FV(input!$C$10,A5,-input!$F$16,,input!$C$7))</f>
        <v>191716.71768522004</v>
      </c>
      <c r="D5" s="23">
        <f>IF(A5 = "", "", PV(input!$C$12,A5,,-C5,input!$C$7))</f>
        <v>186078.35737830019</v>
      </c>
    </row>
    <row r="6" spans="1:4" x14ac:dyDescent="0.25">
      <c r="A6" s="6">
        <f>IF(input!$F$3&gt;A5,A5+1,"")</f>
        <v>4</v>
      </c>
      <c r="B6" s="6">
        <f t="shared" si="0"/>
        <v>2020</v>
      </c>
      <c r="C6" s="23">
        <f>IF(A6 = "", "", FV(input!$C$10,A6,-input!$F$16,,input!$C$7))</f>
        <v>259494.39854387511</v>
      </c>
      <c r="D6" s="23">
        <f>IF(A6 = "", "", PV(input!$C$12,A6,,-C6,input!$C$7))</f>
        <v>249369.01650405431</v>
      </c>
    </row>
    <row r="7" spans="1:4" x14ac:dyDescent="0.25">
      <c r="A7" s="6">
        <f>IF(input!$F$3&gt;A6,A6+1,"")</f>
        <v>5</v>
      </c>
      <c r="B7" s="6">
        <f t="shared" si="0"/>
        <v>2021</v>
      </c>
      <c r="C7" s="23">
        <f>IF(A7 = "", "", FV(input!$C$10,A7,-input!$F$16,,input!$C$7))</f>
        <v>329305.40982828982</v>
      </c>
      <c r="D7" s="23">
        <f>IF(A7 = "", "", PV(input!$C$12,A7,,-C7,input!$C$7))</f>
        <v>313322.79819489602</v>
      </c>
    </row>
    <row r="8" spans="1:4" x14ac:dyDescent="0.25">
      <c r="A8" s="6">
        <f>IF(input!$F$3&gt;A7,A7+1,"")</f>
        <v>6</v>
      </c>
      <c r="B8" s="6">
        <f t="shared" si="0"/>
        <v>2022</v>
      </c>
      <c r="C8" s="23">
        <f>IF(A8 = "", "", FV(input!$C$10,A8,-input!$F$16,,input!$C$7))</f>
        <v>401210.75145123719</v>
      </c>
      <c r="D8" s="23">
        <f>IF(A8 = "", "", PV(input!$C$12,A8,,-C8,input!$C$7))</f>
        <v>377958.67673739773</v>
      </c>
    </row>
    <row r="9" spans="1:4" x14ac:dyDescent="0.25">
      <c r="A9" s="6">
        <f>IF(input!$F$3&gt;A8,A8+1,"")</f>
        <v>7</v>
      </c>
      <c r="B9" s="6">
        <f t="shared" si="0"/>
        <v>2023</v>
      </c>
      <c r="C9" s="23">
        <f>IF(A9 = "", "", FV(input!$C$10,A9,-input!$F$16,,input!$C$7))</f>
        <v>475273.25332287309</v>
      </c>
      <c r="D9" s="23">
        <f>IF(A9 = "", "", PV(input!$C$12,A9,,-C9,input!$C$7))</f>
        <v>443295.94429364183</v>
      </c>
    </row>
    <row r="10" spans="1:4" x14ac:dyDescent="0.25">
      <c r="A10" s="6">
        <f>IF(input!$F$3&gt;A9,A9+1,"")</f>
        <v>8</v>
      </c>
      <c r="B10" s="6">
        <f t="shared" si="0"/>
        <v>2024</v>
      </c>
      <c r="C10" s="23">
        <f>IF(A10 = "", "", FV(input!$C$10,A10,-input!$F$16,,input!$C$7))</f>
        <v>551557.63025065768</v>
      </c>
      <c r="D10" s="23">
        <f>IF(A10 = "", "", PV(input!$C$12,A10,,-C10,input!$C$7))</f>
        <v>509354.21776858496</v>
      </c>
    </row>
    <row r="11" spans="1:4" x14ac:dyDescent="0.25">
      <c r="A11" s="6">
        <f>IF(input!$F$3&gt;A10,A10+1,"")</f>
        <v>9</v>
      </c>
      <c r="B11" s="6">
        <f t="shared" si="0"/>
        <v>2025</v>
      </c>
      <c r="C11" s="23">
        <f>IF(A11 = "", "", FV(input!$C$10,A11,-input!$F$16,,input!$C$7))</f>
        <v>630130.53848627605</v>
      </c>
      <c r="D11" s="23">
        <f>IF(A11 = "", "", PV(input!$C$12,A11,,-C11,input!$C$7))</f>
        <v>576153.44580774335</v>
      </c>
    </row>
    <row r="12" spans="1:4" x14ac:dyDescent="0.25">
      <c r="A12" s="6">
        <f>IF(input!$F$3&gt;A11,A11+1,"")</f>
        <v>10</v>
      </c>
      <c r="B12" s="6">
        <f t="shared" si="0"/>
        <v>2026</v>
      </c>
      <c r="C12" s="23">
        <f>IF(A12 = "", "", FV(input!$C$10,A12,-input!$F$16,,input!$C$7))</f>
        <v>711060.63396896305</v>
      </c>
      <c r="D12" s="23">
        <f>IF(A12 = "", "", PV(input!$C$12,A12,,-C12,input!$C$7))</f>
        <v>643713.91592782445</v>
      </c>
    </row>
    <row r="13" spans="1:4" x14ac:dyDescent="0.25">
      <c r="A13" s="6">
        <f>IF(input!$F$3&gt;A12,A12+1,"")</f>
        <v>11</v>
      </c>
      <c r="B13" s="6">
        <f t="shared" si="0"/>
        <v>2027</v>
      </c>
      <c r="C13" s="23">
        <f>IF(A13 = "", "", FV(input!$C$10,A13,-input!$F$16,,input!$C$7))</f>
        <v>794418.63231613045</v>
      </c>
      <c r="D13" s="23">
        <f>IF(A13 = "", "", PV(input!$C$12,A13,,-C13,input!$C$7))</f>
        <v>712056.26178300451</v>
      </c>
    </row>
    <row r="14" spans="1:4" x14ac:dyDescent="0.25">
      <c r="A14" s="6">
        <f>IF(input!$F$3&gt;A13,A13+1,"")</f>
        <v>12</v>
      </c>
      <c r="B14" s="6">
        <f t="shared" si="0"/>
        <v>2028</v>
      </c>
      <c r="C14" s="23">
        <f>IF(A14 = "", "", FV(input!$C$10,A14,-input!$F$16,,input!$C$7))</f>
        <v>880277.37061371258</v>
      </c>
      <c r="D14" s="23">
        <f>IF(A14 = "", "", PV(input!$C$12,A14,,-C14,input!$C$7))</f>
        <v>781201.4705695858</v>
      </c>
    </row>
    <row r="15" spans="1:4" x14ac:dyDescent="0.25">
      <c r="A15" s="6">
        <f>IF(input!$F$3&gt;A14,A14+1,"")</f>
        <v>13</v>
      </c>
      <c r="B15" s="6">
        <f t="shared" si="0"/>
        <v>2029</v>
      </c>
      <c r="C15" s="23">
        <f>IF(A15 = "", "", FV(input!$C$10,A15,-input!$F$16,,input!$C$7))</f>
        <v>968711.87106022262</v>
      </c>
      <c r="D15" s="23">
        <f>IF(A15 = "", "", PV(input!$C$12,A15,,-C15,input!$C$7))</f>
        <v>851170.89057183359</v>
      </c>
    </row>
    <row r="16" spans="1:4" x14ac:dyDescent="0.25">
      <c r="A16" s="6">
        <f>IF(input!$F$3&gt;A15,A15+1,"")</f>
        <v>14</v>
      </c>
      <c r="B16" s="6">
        <f t="shared" si="0"/>
        <v>2030</v>
      </c>
      <c r="C16" s="23">
        <f>IF(A16 = "", "", FV(input!$C$10,A16,-input!$F$16,,input!$C$7))</f>
        <v>1059799.406520128</v>
      </c>
      <c r="D16" s="23">
        <f>IF(A16 = "", "", PV(input!$C$12,A16,,-C16,input!$C$7))</f>
        <v>921986.23885183525</v>
      </c>
    </row>
    <row r="17" spans="1:4" x14ac:dyDescent="0.25">
      <c r="A17" s="6">
        <f>IF(input!$F$3&gt;A16,A16+1,"")</f>
        <v>15</v>
      </c>
      <c r="B17" s="6">
        <f t="shared" si="0"/>
        <v>2031</v>
      </c>
      <c r="C17" s="23">
        <f>IF(A17 = "", "", FV(input!$C$10,A17,-input!$F$16,,input!$C$7))</f>
        <v>1153619.5680438308</v>
      </c>
      <c r="D17" s="23">
        <f>IF(A17 = "", "", PV(input!$C$12,A17,,-C17,input!$C$7))</f>
        <v>993669.60908629512</v>
      </c>
    </row>
    <row r="18" spans="1:4" x14ac:dyDescent="0.25">
      <c r="A18" s="6">
        <f>IF(input!$F$3&gt;A17,A17+1,"")</f>
        <v>16</v>
      </c>
      <c r="B18" s="6">
        <f t="shared" si="0"/>
        <v>2032</v>
      </c>
      <c r="C18" s="23">
        <f>IF(A18 = "", "", FV(input!$C$10,A18,-input!$F$16,,input!$C$7))</f>
        <v>1250254.3344132437</v>
      </c>
      <c r="D18" s="23">
        <f>IF(A18 = "", "", PV(input!$C$12,A18,,-C18,input!$C$7))</f>
        <v>1066243.4795532196</v>
      </c>
    </row>
    <row r="19" spans="1:4" x14ac:dyDescent="0.25">
      <c r="A19" s="6">
        <f>IF(input!$F$3&gt;A18,A18+1,"")</f>
        <v>17</v>
      </c>
      <c r="B19" s="6">
        <f t="shared" si="0"/>
        <v>2033</v>
      </c>
      <c r="C19" s="23">
        <f>IF(A19 = "", "", FV(input!$C$10,A19,-input!$F$16,,input!$C$7))</f>
        <v>1349788.1437737397</v>
      </c>
      <c r="D19" s="23">
        <f>IF(A19 = "", "", PV(input!$C$12,A19,,-C19,input!$C$7))</f>
        <v>1139730.7212715251</v>
      </c>
    </row>
    <row r="20" spans="1:4" x14ac:dyDescent="0.25">
      <c r="A20" s="6">
        <f>IF(input!$F$3&gt;A19,A19+1,"")</f>
        <v>18</v>
      </c>
      <c r="B20" s="6">
        <f t="shared" si="0"/>
        <v>2034</v>
      </c>
      <c r="C20" s="23">
        <f>IF(A20 = "", "", FV(input!$C$10,A20,-input!$F$16,,input!$C$7))</f>
        <v>1452307.9674150506</v>
      </c>
      <c r="D20" s="23">
        <f>IF(A20 = "", "", PV(input!$C$12,A20,,-C20,input!$C$7))</f>
        <v>1214154.6062966299</v>
      </c>
    </row>
    <row r="21" spans="1:4" x14ac:dyDescent="0.25">
      <c r="A21" s="6">
        <f>IF(input!$F$3&gt;A20,A20+1,"")</f>
        <v>19</v>
      </c>
      <c r="B21" s="6">
        <f t="shared" si="0"/>
        <v>2035</v>
      </c>
      <c r="C21" s="23">
        <f>IF(A21 = "", "", FV(input!$C$10,A21,-input!$F$16,,input!$C$7))</f>
        <v>1557903.3857656005</v>
      </c>
      <c r="D21" s="23">
        <f>IF(A21 = "", "", PV(input!$C$12,A21,,-C21,input!$C$7))</f>
        <v>1289538.8161751879</v>
      </c>
    </row>
    <row r="22" spans="1:4" x14ac:dyDescent="0.25">
      <c r="A22" s="6">
        <f>IF(input!$F$3&gt;A21,A21+1,"")</f>
        <v>20</v>
      </c>
      <c r="B22" s="6">
        <f t="shared" si="0"/>
        <v>2036</v>
      </c>
      <c r="C22" s="23">
        <f>IF(A22 = "", "", FV(input!$C$10,A22,-input!$F$16,,input!$C$7))</f>
        <v>1666666.666666667</v>
      </c>
      <c r="D22" s="23">
        <f>IF(A22 = "", "", PV(input!$C$12,A22,,-C22,input!$C$7))</f>
        <v>1365907.4505621593</v>
      </c>
    </row>
    <row r="23" spans="1:4" x14ac:dyDescent="0.25">
      <c r="A23" s="6" t="str">
        <f>IF(input!$F$3&gt;A22,A22+1,"")</f>
        <v/>
      </c>
      <c r="B23" s="6" t="str">
        <f t="shared" si="0"/>
        <v/>
      </c>
      <c r="C23" s="23" t="str">
        <f>IF(A23 = "", "", FV(input!$C$10,A23,-input!$F$16,,input!$C$7))</f>
        <v/>
      </c>
      <c r="D23" s="23" t="str">
        <f>IF(A23 = "", "", PV(input!$C$12,A23,,-C23,input!$C$7))</f>
        <v/>
      </c>
    </row>
    <row r="24" spans="1:4" x14ac:dyDescent="0.25">
      <c r="A24" s="6" t="str">
        <f>IF(input!$F$3&gt;A23,A23+1,"")</f>
        <v/>
      </c>
      <c r="B24" s="6" t="str">
        <f t="shared" si="0"/>
        <v/>
      </c>
      <c r="C24" s="23" t="str">
        <f>IF(A24 = "", "", FV(input!$C$10,A24,-input!$F$16,,input!$C$7))</f>
        <v/>
      </c>
      <c r="D24" s="23" t="str">
        <f>IF(A24 = "", "", PV(input!$C$12,A24,,-C24,input!$C$7))</f>
        <v/>
      </c>
    </row>
    <row r="25" spans="1:4" x14ac:dyDescent="0.25">
      <c r="A25" s="6" t="str">
        <f>IF(input!$F$3&gt;A24,A24+1,"")</f>
        <v/>
      </c>
      <c r="B25" s="6" t="str">
        <f t="shared" si="0"/>
        <v/>
      </c>
      <c r="C25" s="23" t="str">
        <f>IF(A25 = "", "", FV(input!$C$10,A25,-input!$F$16,,input!$C$7))</f>
        <v/>
      </c>
      <c r="D25" s="23" t="str">
        <f>IF(A25 = "", "", PV(input!$C$12,A25,,-C25,input!$C$7))</f>
        <v/>
      </c>
    </row>
    <row r="26" spans="1:4" x14ac:dyDescent="0.25">
      <c r="A26" s="6" t="str">
        <f>IF(input!$F$3&gt;A25,A25+1,"")</f>
        <v/>
      </c>
      <c r="B26" s="6" t="str">
        <f t="shared" si="0"/>
        <v/>
      </c>
      <c r="C26" s="23" t="str">
        <f>IF(A26 = "", "", FV(input!$C$10,A26,-input!$F$16,,input!$C$7))</f>
        <v/>
      </c>
      <c r="D26" s="23" t="str">
        <f>IF(A26 = "", "", PV(input!$C$12,A26,,-C26,input!$C$7))</f>
        <v/>
      </c>
    </row>
    <row r="27" spans="1:4" x14ac:dyDescent="0.25">
      <c r="A27" s="6" t="str">
        <f>IF(input!$F$3&gt;A26,A26+1,"")</f>
        <v/>
      </c>
      <c r="B27" s="6" t="str">
        <f t="shared" si="0"/>
        <v/>
      </c>
      <c r="C27" s="23" t="str">
        <f>IF(A27 = "", "", FV(input!$C$10,A27,-input!$F$16,,input!$C$7))</f>
        <v/>
      </c>
      <c r="D27" s="23" t="str">
        <f>IF(A27 = "", "", PV(input!$C$12,A27,,-C27,input!$C$7))</f>
        <v/>
      </c>
    </row>
    <row r="28" spans="1:4" x14ac:dyDescent="0.25">
      <c r="A28" s="6" t="str">
        <f>IF(input!$F$3&gt;A27,A27+1,"")</f>
        <v/>
      </c>
      <c r="B28" s="6" t="str">
        <f t="shared" si="0"/>
        <v/>
      </c>
      <c r="C28" s="23" t="str">
        <f>IF(A28 = "", "", FV(input!$C$10,A28,-input!$F$16,,input!$C$7))</f>
        <v/>
      </c>
      <c r="D28" s="23" t="str">
        <f>IF(A28 = "", "", PV(input!$C$12,A28,,-C28,input!$C$7))</f>
        <v/>
      </c>
    </row>
    <row r="29" spans="1:4" x14ac:dyDescent="0.25">
      <c r="A29" s="6" t="str">
        <f>IF(input!$F$3&gt;A28,A28+1,"")</f>
        <v/>
      </c>
      <c r="B29" s="6" t="str">
        <f t="shared" si="0"/>
        <v/>
      </c>
      <c r="C29" s="23" t="str">
        <f>IF(A29 = "", "", FV(input!$C$10,A29,-input!$F$16,,input!$C$7))</f>
        <v/>
      </c>
      <c r="D29" s="23" t="str">
        <f>IF(A29 = "", "", PV(input!$C$12,A29,,-C29,input!$C$7))</f>
        <v/>
      </c>
    </row>
    <row r="30" spans="1:4" x14ac:dyDescent="0.25">
      <c r="A30" s="6" t="str">
        <f>IF(input!$F$3&gt;A29,A29+1,"")</f>
        <v/>
      </c>
      <c r="B30" s="6" t="str">
        <f t="shared" si="0"/>
        <v/>
      </c>
      <c r="C30" s="23" t="str">
        <f>IF(A30 = "", "", FV(input!$C$10,A30,-input!$F$16,,input!$C$7))</f>
        <v/>
      </c>
      <c r="D30" s="23" t="str">
        <f>IF(A30 = "", "", PV(input!$C$12,A30,,-C30,input!$C$7))</f>
        <v/>
      </c>
    </row>
    <row r="31" spans="1:4" x14ac:dyDescent="0.25">
      <c r="A31" s="6" t="str">
        <f>IF(input!$F$3&gt;A30,A30+1,"")</f>
        <v/>
      </c>
      <c r="B31" s="6" t="str">
        <f t="shared" si="0"/>
        <v/>
      </c>
      <c r="C31" s="23" t="str">
        <f>IF(A31 = "", "", FV(input!$C$10,A31,-input!$F$16,,input!$C$7))</f>
        <v/>
      </c>
      <c r="D31" s="23" t="str">
        <f>IF(A31 = "", "", PV(input!$C$12,A31,,-C31,input!$C$7))</f>
        <v/>
      </c>
    </row>
    <row r="32" spans="1:4" x14ac:dyDescent="0.25">
      <c r="A32" s="6" t="str">
        <f>IF(input!$F$3&gt;A31,A31+1,"")</f>
        <v/>
      </c>
      <c r="B32" s="6" t="str">
        <f t="shared" si="0"/>
        <v/>
      </c>
      <c r="C32" s="23" t="str">
        <f>IF(A32 = "", "", FV(input!$C$10,A32,-input!$F$16,,input!$C$7))</f>
        <v/>
      </c>
      <c r="D32" s="23" t="str">
        <f>IF(A32 = "", "", PV(input!$C$12,A32,,-C32,input!$C$7))</f>
        <v/>
      </c>
    </row>
    <row r="33" spans="1:4" x14ac:dyDescent="0.25">
      <c r="A33" s="6" t="str">
        <f>IF(input!$F$3&gt;A32,A32+1,"")</f>
        <v/>
      </c>
      <c r="B33" s="6" t="str">
        <f t="shared" si="0"/>
        <v/>
      </c>
      <c r="C33" s="23" t="str">
        <f>IF(A33 = "", "", FV(input!$C$10,A33,-input!$F$16,,input!$C$7))</f>
        <v/>
      </c>
      <c r="D33" s="23" t="str">
        <f>IF(A33 = "", "", PV(input!$C$12,A33,,-C33,input!$C$7))</f>
        <v/>
      </c>
    </row>
    <row r="34" spans="1:4" x14ac:dyDescent="0.25">
      <c r="A34" s="6" t="str">
        <f>IF(input!$F$3&gt;A33,A33+1,"")</f>
        <v/>
      </c>
      <c r="B34" s="6" t="str">
        <f t="shared" si="0"/>
        <v/>
      </c>
      <c r="C34" s="23" t="str">
        <f>IF(A34 = "", "", FV(input!$C$10,A34,-input!$F$16,,input!$C$7))</f>
        <v/>
      </c>
      <c r="D34" s="23" t="str">
        <f>IF(A34 = "", "", PV(input!$C$12,A34,,-C34,input!$C$7))</f>
        <v/>
      </c>
    </row>
    <row r="35" spans="1:4" x14ac:dyDescent="0.25">
      <c r="A35" s="6" t="str">
        <f>IF(input!$F$3&gt;A34,A34+1,"")</f>
        <v/>
      </c>
      <c r="B35" s="6" t="str">
        <f t="shared" si="0"/>
        <v/>
      </c>
      <c r="C35" s="23" t="str">
        <f>IF(A35 = "", "", FV(input!$C$10,A35,-input!$F$16,,input!$C$7))</f>
        <v/>
      </c>
      <c r="D35" s="23" t="str">
        <f>IF(A35 = "", "", PV(input!$C$12,A35,,-C35,input!$C$7))</f>
        <v/>
      </c>
    </row>
    <row r="36" spans="1:4" x14ac:dyDescent="0.25">
      <c r="A36" s="6" t="str">
        <f>IF(input!$F$3&gt;A35,A35+1,"")</f>
        <v/>
      </c>
      <c r="B36" s="6" t="str">
        <f t="shared" ref="B36:B67" si="1">IF(A36="","",(B35+1))</f>
        <v/>
      </c>
      <c r="C36" s="23" t="str">
        <f>IF(A36 = "", "", FV(input!$C$10,A36,-input!$F$16,,input!$C$7))</f>
        <v/>
      </c>
      <c r="D36" s="23" t="str">
        <f>IF(A36 = "", "", PV(input!$C$12,A36,,-C36,input!$C$7))</f>
        <v/>
      </c>
    </row>
    <row r="37" spans="1:4" x14ac:dyDescent="0.25">
      <c r="A37" s="6" t="str">
        <f>IF(input!$F$3&gt;A36,A36+1,"")</f>
        <v/>
      </c>
      <c r="B37" s="6" t="str">
        <f t="shared" si="1"/>
        <v/>
      </c>
      <c r="C37" s="23" t="str">
        <f>IF(A37 = "", "", FV(input!$C$10,A37,-input!$F$16,,input!$C$7))</f>
        <v/>
      </c>
      <c r="D37" s="23" t="str">
        <f>IF(A37 = "", "", PV(input!$C$12,A37,,-C37,input!$C$7))</f>
        <v/>
      </c>
    </row>
    <row r="38" spans="1:4" x14ac:dyDescent="0.25">
      <c r="A38" s="6" t="str">
        <f>IF(input!$F$3&gt;A37,A37+1,"")</f>
        <v/>
      </c>
      <c r="B38" s="6" t="str">
        <f t="shared" si="1"/>
        <v/>
      </c>
      <c r="C38" s="23" t="str">
        <f>IF(A38 = "", "", FV(input!$C$10,A38,-input!$F$16,,input!$C$7))</f>
        <v/>
      </c>
      <c r="D38" s="23" t="str">
        <f>IF(A38 = "", "", PV(input!$C$12,A38,,-C38,input!$C$7))</f>
        <v/>
      </c>
    </row>
    <row r="39" spans="1:4" x14ac:dyDescent="0.25">
      <c r="A39" s="6" t="str">
        <f>IF(input!$F$3&gt;A38,A38+1,"")</f>
        <v/>
      </c>
      <c r="B39" s="6" t="str">
        <f t="shared" si="1"/>
        <v/>
      </c>
      <c r="C39" s="23" t="str">
        <f>IF(A39 = "", "", FV(input!$C$10,A39,-input!$F$16,,input!$C$7))</f>
        <v/>
      </c>
      <c r="D39" s="23" t="str">
        <f>IF(A39 = "", "", PV(input!$C$12,A39,,-C39,input!$C$7))</f>
        <v/>
      </c>
    </row>
    <row r="40" spans="1:4" x14ac:dyDescent="0.25">
      <c r="A40" s="6" t="str">
        <f>IF(input!$F$3&gt;A39,A39+1,"")</f>
        <v/>
      </c>
      <c r="B40" s="6" t="str">
        <f t="shared" si="1"/>
        <v/>
      </c>
      <c r="C40" s="23" t="str">
        <f>IF(A40 = "", "", FV(input!$C$10,A40,-input!$F$16,,input!$C$7))</f>
        <v/>
      </c>
      <c r="D40" s="23" t="str">
        <f>IF(A40 = "", "", PV(input!$C$12,A40,,-C40,input!$C$7))</f>
        <v/>
      </c>
    </row>
    <row r="41" spans="1:4" x14ac:dyDescent="0.25">
      <c r="A41" s="6" t="str">
        <f>IF(input!$F$3&gt;A40,A40+1,"")</f>
        <v/>
      </c>
      <c r="B41" s="6" t="str">
        <f t="shared" si="1"/>
        <v/>
      </c>
      <c r="C41" s="23" t="str">
        <f>IF(A41 = "", "", FV(input!$C$10,A41,-input!$F$16,,input!$C$7))</f>
        <v/>
      </c>
      <c r="D41" s="23" t="str">
        <f>IF(A41 = "", "", PV(input!$C$12,A41,,-C41,input!$C$7))</f>
        <v/>
      </c>
    </row>
    <row r="42" spans="1:4" x14ac:dyDescent="0.25">
      <c r="A42" s="6" t="str">
        <f>IF(input!$F$3&gt;A41,A41+1,"")</f>
        <v/>
      </c>
      <c r="B42" s="6" t="str">
        <f t="shared" si="1"/>
        <v/>
      </c>
      <c r="C42" s="23" t="str">
        <f>IF(A42 = "", "", FV(input!$C$10,A42,-input!$F$16,,input!$C$7))</f>
        <v/>
      </c>
      <c r="D42" s="23" t="str">
        <f>IF(A42 = "", "", PV(input!$C$12,A42,,-C42,input!$C$7))</f>
        <v/>
      </c>
    </row>
    <row r="43" spans="1:4" x14ac:dyDescent="0.25">
      <c r="A43" s="6" t="str">
        <f>IF(input!$F$3&gt;A42,A42+1,"")</f>
        <v/>
      </c>
      <c r="B43" s="6" t="str">
        <f t="shared" si="1"/>
        <v/>
      </c>
      <c r="C43" s="23" t="str">
        <f>IF(A43 = "", "", FV(input!$C$10,A43,-input!$F$16,,input!$C$7))</f>
        <v/>
      </c>
      <c r="D43" s="23" t="str">
        <f>IF(A43 = "", "", PV(input!$C$12,A43,,-C43,input!$C$7))</f>
        <v/>
      </c>
    </row>
    <row r="44" spans="1:4" x14ac:dyDescent="0.25">
      <c r="A44" s="6" t="str">
        <f>IF(input!$F$3&gt;A43,A43+1,"")</f>
        <v/>
      </c>
      <c r="B44" s="6" t="str">
        <f t="shared" si="1"/>
        <v/>
      </c>
      <c r="C44" s="23" t="str">
        <f>IF(A44 = "", "", FV(input!$C$10,A44,-input!$F$16,,input!$C$7))</f>
        <v/>
      </c>
      <c r="D44" s="23" t="str">
        <f>IF(A44 = "", "", PV(input!$C$12,A44,,-C44,input!$C$7))</f>
        <v/>
      </c>
    </row>
    <row r="45" spans="1:4" x14ac:dyDescent="0.25">
      <c r="A45" s="6" t="str">
        <f>IF(input!$F$3&gt;A44,A44+1,"")</f>
        <v/>
      </c>
      <c r="B45" s="6" t="str">
        <f t="shared" si="1"/>
        <v/>
      </c>
      <c r="C45" s="23" t="str">
        <f>IF(A45 = "", "", FV(input!$C$10,A45,-input!$F$16,,input!$C$7))</f>
        <v/>
      </c>
      <c r="D45" s="23" t="str">
        <f>IF(A45 = "", "", PV(input!$C$12,A45,,-C45,input!$C$7))</f>
        <v/>
      </c>
    </row>
    <row r="46" spans="1:4" x14ac:dyDescent="0.25">
      <c r="A46" s="6" t="str">
        <f>IF(input!$F$3&gt;A45,A45+1,"")</f>
        <v/>
      </c>
      <c r="B46" s="6" t="str">
        <f t="shared" si="1"/>
        <v/>
      </c>
      <c r="C46" s="23" t="str">
        <f>IF(A46 = "", "", FV(input!$C$10,A46,-input!$F$16,,input!$C$7))</f>
        <v/>
      </c>
      <c r="D46" s="23" t="str">
        <f>IF(A46 = "", "", PV(input!$C$12,A46,,-C46,input!$C$7))</f>
        <v/>
      </c>
    </row>
    <row r="47" spans="1:4" x14ac:dyDescent="0.25">
      <c r="A47" s="6" t="str">
        <f>IF(input!$F$3&gt;A46,A46+1,"")</f>
        <v/>
      </c>
      <c r="B47" s="6" t="str">
        <f t="shared" si="1"/>
        <v/>
      </c>
      <c r="C47" s="23" t="str">
        <f>IF(A47 = "", "", FV(input!$C$10,A47,-input!$F$16,,input!$C$7))</f>
        <v/>
      </c>
      <c r="D47" s="23" t="str">
        <f>IF(A47 = "", "", PV(input!$C$12,A47,,-C47,input!$C$7))</f>
        <v/>
      </c>
    </row>
    <row r="48" spans="1:4" x14ac:dyDescent="0.25">
      <c r="A48" s="6" t="str">
        <f>IF(input!$F$3&gt;A47,A47+1,"")</f>
        <v/>
      </c>
      <c r="B48" s="6" t="str">
        <f t="shared" si="1"/>
        <v/>
      </c>
      <c r="C48" s="23" t="str">
        <f>IF(A48 = "", "", FV(input!$C$10,A48,-input!$F$16,,input!$C$7))</f>
        <v/>
      </c>
      <c r="D48" s="23" t="str">
        <f>IF(A48 = "", "", PV(input!$C$12,A48,,-C48,input!$C$7))</f>
        <v/>
      </c>
    </row>
    <row r="49" spans="1:4" x14ac:dyDescent="0.25">
      <c r="A49" s="6" t="str">
        <f>IF(input!$F$3&gt;A48,A48+1,"")</f>
        <v/>
      </c>
      <c r="B49" s="6" t="str">
        <f t="shared" si="1"/>
        <v/>
      </c>
      <c r="C49" s="23" t="str">
        <f>IF(A49 = "", "", FV(input!$C$10,A49,-input!$F$16,,input!$C$7))</f>
        <v/>
      </c>
      <c r="D49" s="23" t="str">
        <f>IF(A49 = "", "", PV(input!$C$12,A49,,-C49,input!$C$7))</f>
        <v/>
      </c>
    </row>
    <row r="50" spans="1:4" x14ac:dyDescent="0.25">
      <c r="A50" s="6" t="str">
        <f>IF(input!$F$3&gt;A49,A49+1,"")</f>
        <v/>
      </c>
      <c r="B50" s="6" t="str">
        <f t="shared" si="1"/>
        <v/>
      </c>
      <c r="C50" s="23" t="str">
        <f>IF(A50 = "", "", FV(input!$C$10,A50,-input!$F$16,,input!$C$7))</f>
        <v/>
      </c>
      <c r="D50" s="23" t="str">
        <f>IF(A50 = "", "", PV(input!$C$12,A50,,-C50,input!$C$7))</f>
        <v/>
      </c>
    </row>
    <row r="51" spans="1:4" x14ac:dyDescent="0.25">
      <c r="A51" s="6" t="str">
        <f>IF(input!$F$3&gt;A50,A50+1,"")</f>
        <v/>
      </c>
      <c r="B51" s="6" t="str">
        <f t="shared" si="1"/>
        <v/>
      </c>
      <c r="C51" s="23" t="str">
        <f>IF(A51 = "", "", FV(input!$C$10,A51,-input!$F$16,,input!$C$7))</f>
        <v/>
      </c>
      <c r="D51" s="23" t="str">
        <f>IF(A51 = "", "", PV(input!$C$12,A51,,-C51,input!$C$7))</f>
        <v/>
      </c>
    </row>
    <row r="52" spans="1:4" x14ac:dyDescent="0.25">
      <c r="A52" s="6" t="str">
        <f>IF(input!$F$3&gt;A51,A51+1,"")</f>
        <v/>
      </c>
      <c r="B52" s="6" t="str">
        <f t="shared" si="1"/>
        <v/>
      </c>
      <c r="C52" s="23" t="str">
        <f>IF(A52 = "", "", FV(input!$C$10,A52,-input!$F$16,,input!$C$7))</f>
        <v/>
      </c>
      <c r="D52" s="23" t="str">
        <f>IF(A52 = "", "", PV(input!$C$12,A52,,-C52,input!$C$7))</f>
        <v/>
      </c>
    </row>
    <row r="53" spans="1:4" x14ac:dyDescent="0.25">
      <c r="A53" s="6" t="str">
        <f>IF(input!$F$3&gt;A52,A52+1,"")</f>
        <v/>
      </c>
      <c r="B53" s="6" t="str">
        <f t="shared" si="1"/>
        <v/>
      </c>
      <c r="C53" s="23" t="str">
        <f>IF(A53 = "", "", FV(input!$C$10,A53,-input!$F$16,,input!$C$7))</f>
        <v/>
      </c>
      <c r="D53" s="23" t="str">
        <f>IF(A53 = "", "", PV(input!$C$12,A53,,-C53,input!$C$7))</f>
        <v/>
      </c>
    </row>
    <row r="54" spans="1:4" x14ac:dyDescent="0.25">
      <c r="A54" s="6" t="str">
        <f>IF(input!$F$3&gt;A53,A53+1,"")</f>
        <v/>
      </c>
      <c r="B54" s="6" t="str">
        <f t="shared" si="1"/>
        <v/>
      </c>
      <c r="C54" s="23" t="str">
        <f>IF(A54 = "", "", FV(input!$C$10,A54,-input!$F$16,,input!$C$7))</f>
        <v/>
      </c>
      <c r="D54" s="23" t="str">
        <f>IF(A54 = "", "", PV(input!$C$12,A54,,-C54,input!$C$7))</f>
        <v/>
      </c>
    </row>
    <row r="55" spans="1:4" x14ac:dyDescent="0.25">
      <c r="A55" s="6" t="str">
        <f>IF(input!$F$3&gt;A54,A54+1,"")</f>
        <v/>
      </c>
      <c r="B55" s="6" t="str">
        <f t="shared" si="1"/>
        <v/>
      </c>
      <c r="C55" s="23" t="str">
        <f>IF(A55 = "", "", FV(input!$C$10,A55,-input!$F$16,,input!$C$7))</f>
        <v/>
      </c>
      <c r="D55" s="23" t="str">
        <f>IF(A55 = "", "", PV(input!$C$12,A55,,-C55,input!$C$7))</f>
        <v/>
      </c>
    </row>
    <row r="56" spans="1:4" x14ac:dyDescent="0.25">
      <c r="A56" s="6" t="str">
        <f>IF(input!$F$3&gt;A55,A55+1,"")</f>
        <v/>
      </c>
      <c r="B56" s="6" t="str">
        <f t="shared" si="1"/>
        <v/>
      </c>
      <c r="C56" s="23" t="str">
        <f>IF(A56 = "", "", FV(input!$C$10,A56,-input!$F$16,,input!$C$7))</f>
        <v/>
      </c>
      <c r="D56" s="23" t="str">
        <f>IF(A56 = "", "", PV(input!$C$12,A56,,-C56,input!$C$7))</f>
        <v/>
      </c>
    </row>
    <row r="57" spans="1:4" x14ac:dyDescent="0.25">
      <c r="A57" s="6" t="str">
        <f>IF(input!$F$3&gt;A56,A56+1,"")</f>
        <v/>
      </c>
      <c r="B57" s="6" t="str">
        <f t="shared" si="1"/>
        <v/>
      </c>
      <c r="C57" s="23" t="str">
        <f>IF(A57 = "", "", FV(input!$C$10,A57,-input!$F$16,,input!$C$7))</f>
        <v/>
      </c>
      <c r="D57" s="23" t="str">
        <f>IF(A57 = "", "", PV(input!$C$12,A57,,-C57,input!$C$7))</f>
        <v/>
      </c>
    </row>
    <row r="58" spans="1:4" x14ac:dyDescent="0.25">
      <c r="A58" s="6" t="str">
        <f>IF(input!$F$3&gt;A57,A57+1,"")</f>
        <v/>
      </c>
      <c r="B58" s="6" t="str">
        <f t="shared" si="1"/>
        <v/>
      </c>
      <c r="C58" s="23" t="str">
        <f>IF(A58 = "", "", FV(input!$C$10,A58,-input!$F$16,,input!$C$7))</f>
        <v/>
      </c>
      <c r="D58" s="23" t="str">
        <f>IF(A58 = "", "", PV(input!$C$12,A58,,-C58,input!$C$7))</f>
        <v/>
      </c>
    </row>
    <row r="59" spans="1:4" x14ac:dyDescent="0.25">
      <c r="A59" s="6" t="str">
        <f>IF(input!$F$3&gt;A58,A58+1,"")</f>
        <v/>
      </c>
      <c r="B59" s="6" t="str">
        <f t="shared" si="1"/>
        <v/>
      </c>
      <c r="C59" s="23" t="str">
        <f>IF(A59 = "", "", FV(input!$C$10,A59,-input!$F$16,,input!$C$7))</f>
        <v/>
      </c>
      <c r="D59" s="23" t="str">
        <f>IF(A59 = "", "", PV(input!$C$12,A59,,-C59,input!$C$7))</f>
        <v/>
      </c>
    </row>
    <row r="60" spans="1:4" x14ac:dyDescent="0.25">
      <c r="A60" s="6" t="str">
        <f>IF(input!$F$3&gt;A59,A59+1,"")</f>
        <v/>
      </c>
      <c r="B60" s="6" t="str">
        <f t="shared" si="1"/>
        <v/>
      </c>
      <c r="C60" s="23" t="str">
        <f>IF(A60 = "", "", FV(input!$C$10,A60,-input!$F$16,,input!$C$7))</f>
        <v/>
      </c>
      <c r="D60" s="23" t="str">
        <f>IF(A60 = "", "", PV(input!$C$12,A60,,-C60,input!$C$7))</f>
        <v/>
      </c>
    </row>
    <row r="61" spans="1:4" x14ac:dyDescent="0.25">
      <c r="A61" s="6" t="str">
        <f>IF(input!$F$3&gt;A60,A60+1,"")</f>
        <v/>
      </c>
      <c r="B61" s="6" t="str">
        <f t="shared" si="1"/>
        <v/>
      </c>
      <c r="C61" s="23" t="str">
        <f>IF(A61 = "", "", FV(input!$C$10,A61,-input!$F$16,,input!$C$7))</f>
        <v/>
      </c>
      <c r="D61" s="23" t="str">
        <f>IF(A61 = "", "", PV(input!$C$12,A61,,-C61,input!$C$7))</f>
        <v/>
      </c>
    </row>
    <row r="62" spans="1:4" x14ac:dyDescent="0.25">
      <c r="A62" s="6" t="str">
        <f>IF(input!$F$3&gt;A61,A61+1,"")</f>
        <v/>
      </c>
      <c r="B62" s="6" t="str">
        <f t="shared" si="1"/>
        <v/>
      </c>
      <c r="C62" s="23" t="str">
        <f>IF(A62 = "", "", FV(input!$C$10,A62,-input!$F$16,,input!$C$7))</f>
        <v/>
      </c>
      <c r="D62" s="23" t="str">
        <f>IF(A62 = "", "", PV(input!$C$12,A62,,-C62,input!$C$7))</f>
        <v/>
      </c>
    </row>
    <row r="63" spans="1:4" x14ac:dyDescent="0.25">
      <c r="A63" s="6" t="str">
        <f>IF(input!$F$3&gt;A62,A62+1,"")</f>
        <v/>
      </c>
      <c r="B63" s="6" t="str">
        <f t="shared" si="1"/>
        <v/>
      </c>
      <c r="C63" s="23" t="str">
        <f>IF(A63 = "", "", FV(input!$C$10,A63,-input!$F$16,,input!$C$7))</f>
        <v/>
      </c>
      <c r="D63" s="23" t="str">
        <f>IF(A63 = "", "", PV(input!$C$12,A63,,-C63,input!$C$7))</f>
        <v/>
      </c>
    </row>
    <row r="64" spans="1:4" x14ac:dyDescent="0.25">
      <c r="A64" s="6" t="str">
        <f>IF(input!$F$3&gt;A63,A63+1,"")</f>
        <v/>
      </c>
      <c r="B64" s="6" t="str">
        <f t="shared" si="1"/>
        <v/>
      </c>
      <c r="C64" s="23" t="str">
        <f>IF(A64 = "", "", FV(input!$C$10,A64,-input!$F$16,,input!$C$7))</f>
        <v/>
      </c>
      <c r="D64" s="23" t="str">
        <f>IF(A64 = "", "", PV(input!$C$12,A64,,-C64,input!$C$7))</f>
        <v/>
      </c>
    </row>
    <row r="65" spans="1:4" x14ac:dyDescent="0.25">
      <c r="A65" s="6" t="str">
        <f>IF(input!$F$3&gt;A64,A64+1,"")</f>
        <v/>
      </c>
      <c r="B65" s="6" t="str">
        <f t="shared" si="1"/>
        <v/>
      </c>
      <c r="C65" s="23" t="str">
        <f>IF(A65 = "", "", FV(input!$C$10,A65,-input!$F$16,,input!$C$7))</f>
        <v/>
      </c>
      <c r="D65" s="23" t="str">
        <f>IF(A65 = "", "", PV(input!$C$12,A65,,-C65,input!$C$7))</f>
        <v/>
      </c>
    </row>
    <row r="66" spans="1:4" x14ac:dyDescent="0.25">
      <c r="A66" s="6" t="str">
        <f>IF(input!$F$3&gt;A65,A65+1,"")</f>
        <v/>
      </c>
      <c r="B66" s="6" t="str">
        <f t="shared" si="1"/>
        <v/>
      </c>
      <c r="C66" s="23" t="str">
        <f>IF(A66 = "", "", FV(input!$C$10,A66,-input!$F$16,,input!$C$7))</f>
        <v/>
      </c>
      <c r="D66" s="23" t="str">
        <f>IF(A66 = "", "", PV(input!$C$12,A66,,-C66,input!$C$7))</f>
        <v/>
      </c>
    </row>
    <row r="67" spans="1:4" x14ac:dyDescent="0.25">
      <c r="A67" s="6" t="str">
        <f>IF(input!$F$3&gt;A66,A66+1,"")</f>
        <v/>
      </c>
      <c r="B67" s="6" t="str">
        <f t="shared" si="1"/>
        <v/>
      </c>
      <c r="C67" s="23" t="str">
        <f>IF(A67 = "", "", FV(input!$C$10,A67,-input!$F$16,,input!$C$7))</f>
        <v/>
      </c>
      <c r="D67" s="23" t="str">
        <f>IF(A67 = "", "", PV(input!$C$12,A67,,-C67,input!$C$7))</f>
        <v/>
      </c>
    </row>
    <row r="68" spans="1:4" x14ac:dyDescent="0.25">
      <c r="A68" s="6" t="str">
        <f>IF(input!$F$3&gt;A67,A67+1,"")</f>
        <v/>
      </c>
      <c r="B68" s="6" t="str">
        <f t="shared" ref="B68:B99" si="2">IF(A68="","",(B67+1))</f>
        <v/>
      </c>
      <c r="C68" s="23" t="str">
        <f>IF(A68 = "", "", FV(input!$C$10,A68,-input!$F$16,,input!$C$7))</f>
        <v/>
      </c>
      <c r="D68" s="23" t="str">
        <f>IF(A68 = "", "", PV(input!$C$12,A68,,-C68,input!$C$7))</f>
        <v/>
      </c>
    </row>
    <row r="69" spans="1:4" x14ac:dyDescent="0.25">
      <c r="A69" s="6" t="str">
        <f>IF(input!$F$3&gt;A68,A68+1,"")</f>
        <v/>
      </c>
      <c r="B69" s="6" t="str">
        <f t="shared" si="2"/>
        <v/>
      </c>
      <c r="C69" s="23" t="str">
        <f>IF(A69 = "", "", FV(input!$C$10,A69,-input!$F$16,,input!$C$7))</f>
        <v/>
      </c>
      <c r="D69" s="23" t="str">
        <f>IF(A69 = "", "", PV(input!$C$12,A69,,-C69,input!$C$7))</f>
        <v/>
      </c>
    </row>
    <row r="70" spans="1:4" x14ac:dyDescent="0.25">
      <c r="A70" s="6" t="str">
        <f>IF(input!$F$3&gt;A69,A69+1,"")</f>
        <v/>
      </c>
      <c r="B70" s="6" t="str">
        <f t="shared" si="2"/>
        <v/>
      </c>
      <c r="C70" s="23" t="str">
        <f>IF(A70 = "", "", FV(input!$C$10,A70,-input!$F$16,,input!$C$7))</f>
        <v/>
      </c>
      <c r="D70" s="23" t="str">
        <f>IF(A70 = "", "", PV(input!$C$12,A70,,-C70,input!$C$7))</f>
        <v/>
      </c>
    </row>
    <row r="71" spans="1:4" x14ac:dyDescent="0.25">
      <c r="A71" s="6" t="str">
        <f>IF(input!$F$3&gt;A70,A70+1,"")</f>
        <v/>
      </c>
      <c r="B71" s="6" t="str">
        <f t="shared" si="2"/>
        <v/>
      </c>
      <c r="C71" s="23" t="str">
        <f>IF(A71 = "", "", FV(input!$C$10,A71,-input!$F$16,,input!$C$7))</f>
        <v/>
      </c>
      <c r="D71" s="23" t="str">
        <f>IF(A71 = "", "", PV(input!$C$12,A71,,-C71,input!$C$7))</f>
        <v/>
      </c>
    </row>
    <row r="72" spans="1:4" x14ac:dyDescent="0.25">
      <c r="A72" s="6" t="str">
        <f>IF(input!$F$3&gt;A71,A71+1,"")</f>
        <v/>
      </c>
      <c r="B72" s="6" t="str">
        <f t="shared" si="2"/>
        <v/>
      </c>
      <c r="C72" s="23" t="str">
        <f>IF(A72 = "", "", FV(input!$C$10,A72,-input!$F$16,,input!$C$7))</f>
        <v/>
      </c>
      <c r="D72" s="23" t="str">
        <f>IF(A72 = "", "", PV(input!$C$12,A72,,-C72,input!$C$7))</f>
        <v/>
      </c>
    </row>
    <row r="73" spans="1:4" x14ac:dyDescent="0.25">
      <c r="A73" s="6" t="str">
        <f>IF(input!$F$3&gt;A72,A72+1,"")</f>
        <v/>
      </c>
      <c r="B73" s="6" t="str">
        <f t="shared" si="2"/>
        <v/>
      </c>
      <c r="C73" s="23" t="str">
        <f>IF(A73 = "", "", FV(input!$C$10,A73,-input!$F$16,,input!$C$7))</f>
        <v/>
      </c>
      <c r="D73" s="23" t="str">
        <f>IF(A73 = "", "", PV(input!$C$12,A73,,-C73,input!$C$7))</f>
        <v/>
      </c>
    </row>
    <row r="74" spans="1:4" x14ac:dyDescent="0.25">
      <c r="A74" s="6" t="str">
        <f>IF(input!$F$3&gt;A73,A73+1,"")</f>
        <v/>
      </c>
      <c r="B74" s="6" t="str">
        <f t="shared" si="2"/>
        <v/>
      </c>
      <c r="C74" s="23" t="str">
        <f>IF(A74 = "", "", FV(input!$C$10,A74,-input!$F$16,,input!$C$7))</f>
        <v/>
      </c>
      <c r="D74" s="23" t="str">
        <f>IF(A74 = "", "", PV(input!$C$12,A74,,-C74,input!$C$7))</f>
        <v/>
      </c>
    </row>
    <row r="75" spans="1:4" x14ac:dyDescent="0.25">
      <c r="A75" s="6" t="str">
        <f>IF(input!$F$3&gt;A74,A74+1,"")</f>
        <v/>
      </c>
      <c r="B75" s="6" t="str">
        <f t="shared" si="2"/>
        <v/>
      </c>
      <c r="C75" s="23" t="str">
        <f>IF(A75 = "", "", FV(input!$C$10,A75,-input!$F$16,,input!$C$7))</f>
        <v/>
      </c>
      <c r="D75" s="23" t="str">
        <f>IF(A75 = "", "", PV(input!$C$12,A75,,-C75,input!$C$7))</f>
        <v/>
      </c>
    </row>
    <row r="76" spans="1:4" x14ac:dyDescent="0.25">
      <c r="A76" s="6" t="str">
        <f>IF(input!$F$3&gt;A75,A75+1,"")</f>
        <v/>
      </c>
      <c r="B76" s="6" t="str">
        <f t="shared" si="2"/>
        <v/>
      </c>
      <c r="C76" s="23" t="str">
        <f>IF(A76 = "", "", FV(input!$C$10,A76,-input!$F$16,,input!$C$7))</f>
        <v/>
      </c>
      <c r="D76" s="23" t="str">
        <f>IF(A76 = "", "", PV(input!$C$12,A76,,-C76,input!$C$7))</f>
        <v/>
      </c>
    </row>
    <row r="77" spans="1:4" x14ac:dyDescent="0.25">
      <c r="A77" s="6" t="str">
        <f>IF(input!$F$3&gt;A76,A76+1,"")</f>
        <v/>
      </c>
      <c r="B77" s="6" t="str">
        <f t="shared" si="2"/>
        <v/>
      </c>
      <c r="C77" s="23" t="str">
        <f>IF(A77 = "", "", FV(input!$C$10,A77,-input!$F$16,,input!$C$7))</f>
        <v/>
      </c>
      <c r="D77" s="23" t="str">
        <f>IF(A77 = "", "", PV(input!$C$12,A77,,-C77,input!$C$7))</f>
        <v/>
      </c>
    </row>
    <row r="78" spans="1:4" x14ac:dyDescent="0.25">
      <c r="A78" s="6" t="str">
        <f>IF(input!$F$3&gt;A77,A77+1,"")</f>
        <v/>
      </c>
      <c r="B78" s="6" t="str">
        <f t="shared" si="2"/>
        <v/>
      </c>
      <c r="C78" s="23" t="str">
        <f>IF(A78 = "", "", FV(input!$C$10,A78,-input!$F$16,,input!$C$7))</f>
        <v/>
      </c>
      <c r="D78" s="23" t="str">
        <f>IF(A78 = "", "", PV(input!$C$12,A78,,-C78,input!$C$7))</f>
        <v/>
      </c>
    </row>
    <row r="79" spans="1:4" x14ac:dyDescent="0.25">
      <c r="A79" s="6" t="str">
        <f>IF(input!$F$3&gt;A78,A78+1,"")</f>
        <v/>
      </c>
      <c r="B79" s="6" t="str">
        <f t="shared" si="2"/>
        <v/>
      </c>
      <c r="C79" s="23" t="str">
        <f>IF(A79 = "", "", FV(input!$C$10,A79,-input!$F$16,,input!$C$7))</f>
        <v/>
      </c>
      <c r="D79" s="23" t="str">
        <f>IF(A79 = "", "", PV(input!$C$12,A79,,-C79,input!$C$7))</f>
        <v/>
      </c>
    </row>
    <row r="80" spans="1:4" x14ac:dyDescent="0.25">
      <c r="A80" s="6" t="str">
        <f>IF(input!$F$3&gt;A79,A79+1,"")</f>
        <v/>
      </c>
      <c r="B80" s="6" t="str">
        <f t="shared" si="2"/>
        <v/>
      </c>
      <c r="C80" s="23" t="str">
        <f>IF(A80 = "", "", FV(input!$C$10,A80,-input!$F$16,,input!$C$7))</f>
        <v/>
      </c>
      <c r="D80" s="23" t="str">
        <f>IF(A80 = "", "", PV(input!$C$12,A80,,-C80,input!$C$7))</f>
        <v/>
      </c>
    </row>
    <row r="81" spans="1:4" x14ac:dyDescent="0.25">
      <c r="A81" s="6" t="str">
        <f>IF(input!$F$3&gt;A80,A80+1,"")</f>
        <v/>
      </c>
      <c r="B81" s="6" t="str">
        <f t="shared" si="2"/>
        <v/>
      </c>
      <c r="C81" s="23" t="str">
        <f>IF(A81 = "", "", FV(input!$C$10,A81,-input!$F$16,,input!$C$7))</f>
        <v/>
      </c>
      <c r="D81" s="23" t="str">
        <f>IF(A81 = "", "", PV(input!$C$12,A81,,-C81,input!$C$7))</f>
        <v/>
      </c>
    </row>
    <row r="82" spans="1:4" x14ac:dyDescent="0.25">
      <c r="A82" s="6" t="str">
        <f>IF(input!$F$3&gt;A81,A81+1,"")</f>
        <v/>
      </c>
      <c r="B82" s="6" t="str">
        <f t="shared" si="2"/>
        <v/>
      </c>
      <c r="C82" s="23" t="str">
        <f>IF(A82 = "", "", FV(input!$C$10,A82,-input!$F$16,,input!$C$7))</f>
        <v/>
      </c>
      <c r="D82" s="23" t="str">
        <f>IF(A82 = "", "", PV(input!$C$12,A82,,-C82,input!$C$7))</f>
        <v/>
      </c>
    </row>
    <row r="83" spans="1:4" x14ac:dyDescent="0.25">
      <c r="A83" s="6" t="str">
        <f>IF(input!$F$3&gt;A82,A82+1,"")</f>
        <v/>
      </c>
      <c r="B83" s="6" t="str">
        <f t="shared" si="2"/>
        <v/>
      </c>
      <c r="C83" s="23" t="str">
        <f>IF(A83 = "", "", FV(input!$C$10,A83,-input!$F$16,,input!$C$7))</f>
        <v/>
      </c>
      <c r="D83" s="23" t="str">
        <f>IF(A83 = "", "", PV(input!$C$12,A83,,-C83,input!$C$7))</f>
        <v/>
      </c>
    </row>
    <row r="84" spans="1:4" x14ac:dyDescent="0.25">
      <c r="A84" s="6" t="str">
        <f>IF(input!$F$3&gt;A83,A83+1,"")</f>
        <v/>
      </c>
      <c r="B84" s="6" t="str">
        <f t="shared" si="2"/>
        <v/>
      </c>
      <c r="C84" s="23" t="str">
        <f>IF(A84 = "", "", FV(input!$C$10,A84,-input!$F$16,,input!$C$7))</f>
        <v/>
      </c>
      <c r="D84" s="23" t="str">
        <f>IF(A84 = "", "", PV(input!$C$12,A84,,-C84,input!$C$7))</f>
        <v/>
      </c>
    </row>
    <row r="85" spans="1:4" x14ac:dyDescent="0.25">
      <c r="A85" s="6" t="str">
        <f>IF(input!$F$3&gt;A84,A84+1,"")</f>
        <v/>
      </c>
      <c r="B85" s="6" t="str">
        <f t="shared" si="2"/>
        <v/>
      </c>
      <c r="C85" s="23" t="str">
        <f>IF(A85 = "", "", FV(input!$C$10,A85,-input!$F$16,,input!$C$7))</f>
        <v/>
      </c>
      <c r="D85" s="23" t="str">
        <f>IF(A85 = "", "", PV(input!$C$12,A85,,-C85,input!$C$7))</f>
        <v/>
      </c>
    </row>
    <row r="86" spans="1:4" x14ac:dyDescent="0.25">
      <c r="A86" s="6" t="str">
        <f>IF(input!$F$3&gt;A85,A85+1,"")</f>
        <v/>
      </c>
      <c r="B86" s="6" t="str">
        <f t="shared" si="2"/>
        <v/>
      </c>
      <c r="C86" s="23" t="str">
        <f>IF(A86 = "", "", FV(input!$C$10,A86,-input!$F$16,,input!$C$7))</f>
        <v/>
      </c>
      <c r="D86" s="23" t="str">
        <f>IF(A86 = "", "", PV(input!$C$12,A86,,-C86,input!$C$7))</f>
        <v/>
      </c>
    </row>
    <row r="87" spans="1:4" x14ac:dyDescent="0.25">
      <c r="A87" s="6" t="str">
        <f>IF(input!$F$3&gt;A86,A86+1,"")</f>
        <v/>
      </c>
      <c r="B87" s="6" t="str">
        <f t="shared" si="2"/>
        <v/>
      </c>
      <c r="C87" s="23" t="str">
        <f>IF(A87 = "", "", FV(input!$C$10,A87,-input!$F$16,,input!$C$7))</f>
        <v/>
      </c>
      <c r="D87" s="23" t="str">
        <f>IF(A87 = "", "", PV(input!$C$12,A87,,-C87,input!$C$7))</f>
        <v/>
      </c>
    </row>
    <row r="88" spans="1:4" x14ac:dyDescent="0.25">
      <c r="A88" s="6" t="str">
        <f>IF(input!$F$3&gt;A87,A87+1,"")</f>
        <v/>
      </c>
      <c r="B88" s="6" t="str">
        <f t="shared" si="2"/>
        <v/>
      </c>
      <c r="C88" s="23" t="str">
        <f>IF(A88 = "", "", FV(input!$C$10,A88,-input!$F$16,,input!$C$7))</f>
        <v/>
      </c>
      <c r="D88" s="23" t="str">
        <f>IF(A88 = "", "", PV(input!$C$12,A88,,-C88,input!$C$7))</f>
        <v/>
      </c>
    </row>
    <row r="89" spans="1:4" x14ac:dyDescent="0.25">
      <c r="A89" s="6" t="str">
        <f>IF(input!$F$3&gt;A88,A88+1,"")</f>
        <v/>
      </c>
      <c r="B89" s="6" t="str">
        <f t="shared" si="2"/>
        <v/>
      </c>
      <c r="C89" s="23" t="str">
        <f>IF(A89 = "", "", FV(input!$C$10,A89,-input!$F$16,,input!$C$7))</f>
        <v/>
      </c>
      <c r="D89" s="23" t="str">
        <f>IF(A89 = "", "", PV(input!$C$12,A89,,-C89,input!$C$7))</f>
        <v/>
      </c>
    </row>
    <row r="90" spans="1:4" x14ac:dyDescent="0.25">
      <c r="A90" s="6" t="str">
        <f>IF(input!$F$3&gt;A89,A89+1,"")</f>
        <v/>
      </c>
      <c r="B90" s="6" t="str">
        <f t="shared" si="2"/>
        <v/>
      </c>
      <c r="C90" s="23" t="str">
        <f>IF(A90 = "", "", FV(input!$C$10,A90,-input!$F$16,,input!$C$7))</f>
        <v/>
      </c>
      <c r="D90" s="23" t="str">
        <f>IF(A90 = "", "", PV(input!$C$12,A90,,-C90,input!$C$7))</f>
        <v/>
      </c>
    </row>
    <row r="91" spans="1:4" x14ac:dyDescent="0.25">
      <c r="A91" s="6" t="str">
        <f>IF(input!$F$3&gt;A90,A90+1,"")</f>
        <v/>
      </c>
      <c r="B91" s="6" t="str">
        <f t="shared" si="2"/>
        <v/>
      </c>
      <c r="C91" s="23" t="str">
        <f>IF(A91 = "", "", FV(input!$C$10,A91,-input!$F$16,,input!$C$7))</f>
        <v/>
      </c>
      <c r="D91" s="23" t="str">
        <f>IF(A91 = "", "", PV(input!$C$12,A91,,-C91,input!$C$7))</f>
        <v/>
      </c>
    </row>
    <row r="92" spans="1:4" x14ac:dyDescent="0.25">
      <c r="A92" s="6" t="str">
        <f>IF(input!$F$3&gt;A91,A91+1,"")</f>
        <v/>
      </c>
      <c r="B92" s="6" t="str">
        <f t="shared" si="2"/>
        <v/>
      </c>
      <c r="C92" s="23" t="str">
        <f>IF(A92 = "", "", FV(input!$C$10,A92,-input!$F$16,,input!$C$7))</f>
        <v/>
      </c>
      <c r="D92" s="23" t="str">
        <f>IF(A92 = "", "", PV(input!$C$12,A92,,-C92,input!$C$7))</f>
        <v/>
      </c>
    </row>
    <row r="93" spans="1:4" x14ac:dyDescent="0.25">
      <c r="A93" s="6" t="str">
        <f>IF(input!$F$3&gt;A92,A92+1,"")</f>
        <v/>
      </c>
      <c r="B93" s="6" t="str">
        <f t="shared" si="2"/>
        <v/>
      </c>
      <c r="C93" s="23" t="str">
        <f>IF(A93 = "", "", FV(input!$C$10,A93,-input!$F$16,,input!$C$7))</f>
        <v/>
      </c>
      <c r="D93" s="23" t="str">
        <f>IF(A93 = "", "", PV(input!$C$12,A93,,-C93,input!$C$7))</f>
        <v/>
      </c>
    </row>
    <row r="94" spans="1:4" x14ac:dyDescent="0.25">
      <c r="A94" s="6" t="str">
        <f>IF(input!$F$3&gt;A93,A93+1,"")</f>
        <v/>
      </c>
      <c r="B94" s="6" t="str">
        <f t="shared" si="2"/>
        <v/>
      </c>
      <c r="C94" s="23" t="str">
        <f>IF(A94 = "", "", FV(input!$C$10,A94,-input!$F$16,,input!$C$7))</f>
        <v/>
      </c>
      <c r="D94" s="23" t="str">
        <f>IF(A94 = "", "", PV(input!$C$12,A94,,-C94,input!$C$7))</f>
        <v/>
      </c>
    </row>
    <row r="95" spans="1:4" x14ac:dyDescent="0.25">
      <c r="A95" s="6" t="str">
        <f>IF(input!$F$3&gt;A94,A94+1,"")</f>
        <v/>
      </c>
      <c r="B95" s="6" t="str">
        <f t="shared" si="2"/>
        <v/>
      </c>
      <c r="C95" s="23" t="str">
        <f>IF(A95 = "", "", FV(input!$C$10,A95,-input!$F$16,,input!$C$7))</f>
        <v/>
      </c>
      <c r="D95" s="23" t="str">
        <f>IF(A95 = "", "", PV(input!$C$12,A95,,-C95,input!$C$7))</f>
        <v/>
      </c>
    </row>
    <row r="96" spans="1:4" x14ac:dyDescent="0.25">
      <c r="A96" s="6" t="str">
        <f>IF(input!$F$3&gt;A95,A95+1,"")</f>
        <v/>
      </c>
      <c r="B96" s="6" t="str">
        <f t="shared" si="2"/>
        <v/>
      </c>
      <c r="C96" s="23" t="str">
        <f>IF(A96 = "", "", FV(input!$C$10,A96,-input!$F$16,,input!$C$7))</f>
        <v/>
      </c>
      <c r="D96" s="23" t="str">
        <f>IF(A96 = "", "", PV(input!$C$12,A96,,-C96,input!$C$7))</f>
        <v/>
      </c>
    </row>
    <row r="97" spans="1:4" x14ac:dyDescent="0.25">
      <c r="A97" s="6" t="str">
        <f>IF(input!$F$3&gt;A96,A96+1,"")</f>
        <v/>
      </c>
      <c r="B97" s="6" t="str">
        <f t="shared" si="2"/>
        <v/>
      </c>
      <c r="C97" s="23" t="str">
        <f>IF(A97 = "", "", FV(input!$C$10,A97,-input!$F$16,,input!$C$7))</f>
        <v/>
      </c>
      <c r="D97" s="23" t="str">
        <f>IF(A97 = "", "", PV(input!$C$12,A97,,-C97,input!$C$7))</f>
        <v/>
      </c>
    </row>
    <row r="98" spans="1:4" x14ac:dyDescent="0.25">
      <c r="A98" s="6" t="str">
        <f>IF(input!$F$3&gt;A97,A97+1,"")</f>
        <v/>
      </c>
      <c r="B98" s="6" t="str">
        <f t="shared" si="2"/>
        <v/>
      </c>
      <c r="C98" s="23" t="str">
        <f>IF(A98 = "", "", FV(input!$C$10,A98,-input!$F$16,,input!$C$7))</f>
        <v/>
      </c>
      <c r="D98" s="23" t="str">
        <f>IF(A98 = "", "", PV(input!$C$12,A98,,-C98,input!$C$7))</f>
        <v/>
      </c>
    </row>
    <row r="99" spans="1:4" x14ac:dyDescent="0.25">
      <c r="A99" s="6" t="str">
        <f>IF(input!$F$3&gt;A98,A98+1,"")</f>
        <v/>
      </c>
      <c r="B99" s="6" t="str">
        <f t="shared" si="2"/>
        <v/>
      </c>
      <c r="C99" s="23" t="str">
        <f>IF(A99 = "", "", FV(input!$C$10,A99,-input!$F$16,,input!$C$7))</f>
        <v/>
      </c>
      <c r="D99" s="23" t="str">
        <f>IF(A99 = "", "", PV(input!$C$12,A99,,-C99,input!$C$7))</f>
        <v/>
      </c>
    </row>
    <row r="100" spans="1:4" x14ac:dyDescent="0.25">
      <c r="A100" s="6" t="str">
        <f>IF(input!$F$3&gt;A99,A99+1,"")</f>
        <v/>
      </c>
      <c r="B100" s="6" t="str">
        <f t="shared" ref="B100:B102" si="3">IF(A100="","",(B99+1))</f>
        <v/>
      </c>
      <c r="C100" s="23" t="str">
        <f>IF(A100 = "", "", FV(input!$C$10,A100,-input!$F$16,,input!$C$7))</f>
        <v/>
      </c>
      <c r="D100" s="23" t="str">
        <f>IF(A100 = "", "", PV(input!$C$12,A100,,-C100,input!$C$7))</f>
        <v/>
      </c>
    </row>
    <row r="101" spans="1:4" x14ac:dyDescent="0.25">
      <c r="A101" s="6" t="str">
        <f>IF(input!$F$3&gt;A100,A100+1,"")</f>
        <v/>
      </c>
      <c r="B101" s="6" t="str">
        <f t="shared" si="3"/>
        <v/>
      </c>
      <c r="C101" s="23" t="str">
        <f>IF(A101 = "", "", FV(input!$C$10,A101,-input!$F$16,,input!$C$7))</f>
        <v/>
      </c>
      <c r="D101" s="23" t="str">
        <f>IF(A101 = "", "", PV(input!$C$12,A101,,-C101,input!$C$7))</f>
        <v/>
      </c>
    </row>
    <row r="102" spans="1:4" x14ac:dyDescent="0.25">
      <c r="A102" s="6" t="str">
        <f>IF(input!$F$3&gt;A101,A101+1,"")</f>
        <v/>
      </c>
      <c r="B102" s="6" t="str">
        <f t="shared" si="3"/>
        <v/>
      </c>
      <c r="C102" s="23" t="str">
        <f>IF(A102 = "", "", FV(input!$C$10,A102,-input!$F$16,,input!$C$7))</f>
        <v/>
      </c>
      <c r="D102" s="23" t="str">
        <f>IF(A102 = "", "", PV(input!$C$12,A102,,-C102,input!$C$7))</f>
        <v/>
      </c>
    </row>
    <row r="103" spans="1:4" x14ac:dyDescent="0.25">
      <c r="A103" s="7" t="s">
        <v>12</v>
      </c>
      <c r="B103" s="7" t="s">
        <v>15</v>
      </c>
      <c r="C103" s="8" t="s">
        <v>12</v>
      </c>
      <c r="D103" s="8" t="s">
        <v>11</v>
      </c>
    </row>
    <row r="104" spans="1:4" x14ac:dyDescent="0.25">
      <c r="A104" s="9"/>
      <c r="B104" s="9"/>
    </row>
    <row r="105" spans="1:4" x14ac:dyDescent="0.25">
      <c r="A105" s="9"/>
      <c r="B105" s="9"/>
    </row>
    <row r="106" spans="1:4" x14ac:dyDescent="0.25">
      <c r="A106" s="9"/>
      <c r="B106" s="9"/>
    </row>
  </sheetData>
  <sheetProtection sheet="1" objects="1" scenarios="1"/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2"/>
  </sheetPr>
  <dimension ref="A1:D237"/>
  <sheetViews>
    <sheetView workbookViewId="0">
      <selection activeCell="D3" sqref="D3"/>
    </sheetView>
  </sheetViews>
  <sheetFormatPr defaultRowHeight="15" x14ac:dyDescent="0.25"/>
  <cols>
    <col min="1" max="1" width="8.125" style="10" customWidth="1"/>
    <col min="2" max="2" width="6.625" style="10" customWidth="1"/>
    <col min="3" max="3" width="12.625" style="10" bestFit="1" customWidth="1"/>
    <col min="4" max="4" width="12.5" style="10" bestFit="1" customWidth="1"/>
  </cols>
  <sheetData>
    <row r="1" spans="1:4" x14ac:dyDescent="0.25">
      <c r="A1" s="56" t="s">
        <v>5</v>
      </c>
      <c r="B1" s="56"/>
      <c r="C1" s="56"/>
      <c r="D1" s="56"/>
    </row>
    <row r="2" spans="1:4" x14ac:dyDescent="0.25">
      <c r="A2" s="12" t="s">
        <v>14</v>
      </c>
      <c r="B2" s="12" t="s">
        <v>2</v>
      </c>
      <c r="C2" s="12" t="s">
        <v>3</v>
      </c>
      <c r="D2" s="12" t="s">
        <v>47</v>
      </c>
    </row>
    <row r="3" spans="1:4" x14ac:dyDescent="0.25">
      <c r="A3" s="5">
        <f>IF(nominal_balance!A3="","",nominal_balance!A3)</f>
        <v>1</v>
      </c>
      <c r="B3" s="5">
        <f>input!$C$6</f>
        <v>2017</v>
      </c>
      <c r="C3" s="23">
        <f>IF(nominal_balance!A3="","",FV(input!$F$6,A3,-input!$F$16,,input!$C$7))</f>
        <v>60809.979733430009</v>
      </c>
      <c r="D3" s="23">
        <f>IF(nominal_balance!A3="","",PV((input!$C$12),A3,,-C3,input!$C$7))</f>
        <v>60207.900726168322</v>
      </c>
    </row>
    <row r="4" spans="1:4" x14ac:dyDescent="0.25">
      <c r="A4" s="5">
        <f>IF(nominal_balance!A4="","",nominal_balance!A4)</f>
        <v>2</v>
      </c>
      <c r="B4" s="5">
        <f>IF(nominal_balance!A4="","",(nominal_balance!B3+1))</f>
        <v>2018</v>
      </c>
      <c r="C4" s="23">
        <f>IF(nominal_balance!A4="","",FV(input!$F$6,A4,-input!$F$16,,input!$C$7))</f>
        <v>122216.13573875591</v>
      </c>
      <c r="D4" s="23">
        <f>IF(nominal_balance!A4="","",PV((input!$C$12),A4,,-C4,input!$C$7))</f>
        <v>119807.99503848242</v>
      </c>
    </row>
    <row r="5" spans="1:4" x14ac:dyDescent="0.25">
      <c r="A5" s="5">
        <f>IF(nominal_balance!A5="","",nominal_balance!A5)</f>
        <v>3</v>
      </c>
      <c r="B5" s="5">
        <f>IF(nominal_balance!A5="","",(nominal_balance!B4+1))</f>
        <v>2019</v>
      </c>
      <c r="C5" s="23">
        <f>IF(nominal_balance!A5="","",FV(input!$F$6,A5,-input!$F$16,,input!$C$7))</f>
        <v>184224.31288138879</v>
      </c>
      <c r="D5" s="23">
        <f>IF(nominal_balance!A5="","",PV((input!$C$12),A5,,-C5,input!$C$7))</f>
        <v>178806.30309141582</v>
      </c>
    </row>
    <row r="6" spans="1:4" x14ac:dyDescent="0.25">
      <c r="A6" s="5">
        <f>IF(nominal_balance!A6="","",nominal_balance!A6)</f>
        <v>4</v>
      </c>
      <c r="B6" s="5">
        <f>IF(nominal_balance!A6="","",(nominal_balance!B5+1))</f>
        <v>2020</v>
      </c>
      <c r="C6" s="23">
        <f>IF(nominal_balance!A6="","",FV(input!$F$6,A6,-input!$F$16,,input!$C$7))</f>
        <v>246840.41332934171</v>
      </c>
      <c r="D6" s="23">
        <f>IF(nominal_balance!A6="","",PV((input!$C$12),A6,,-C6,input!$C$7))</f>
        <v>237208.78543351154</v>
      </c>
    </row>
    <row r="7" spans="1:4" x14ac:dyDescent="0.25">
      <c r="A7" s="5">
        <f>IF(nominal_balance!A7="","",nominal_balance!A7)</f>
        <v>5</v>
      </c>
      <c r="B7" s="5">
        <f>IF(nominal_balance!A7="","",(nominal_balance!B6+1))</f>
        <v>2021</v>
      </c>
      <c r="C7" s="23">
        <f>IF(nominal_balance!A7="","",FV(input!$F$6,A7,-input!$F$16,,input!$C$7))</f>
        <v>310070.39711501967</v>
      </c>
      <c r="D7" s="23">
        <f>IF(nominal_balance!A7="","",PV((input!$C$12),A7,,-C7,input!$C$7))</f>
        <v>295021.34359753988</v>
      </c>
    </row>
    <row r="8" spans="1:4" x14ac:dyDescent="0.25">
      <c r="A8" s="5">
        <f>IF(nominal_balance!A8="","",nominal_balance!A8)</f>
        <v>6</v>
      </c>
      <c r="B8" s="5">
        <f>IF(nominal_balance!A8="","",(nominal_balance!B7+1))</f>
        <v>2022</v>
      </c>
      <c r="C8" s="23">
        <f>IF(nominal_balance!A8="","",FV(input!$F$6,A8,-input!$F$16,,input!$C$7))</f>
        <v>373920.28270251828</v>
      </c>
      <c r="D8" s="23">
        <f>IF(nominal_balance!A8="","",PV((input!$C$12),A8,,-C8,input!$C$7))</f>
        <v>352249.82068481325</v>
      </c>
    </row>
    <row r="9" spans="1:4" x14ac:dyDescent="0.25">
      <c r="A9" s="5">
        <f>IF(nominal_balance!A9="","",nominal_balance!A9)</f>
        <v>7</v>
      </c>
      <c r="B9" s="5">
        <f>IF(nominal_balance!A9="","",(nominal_balance!B8+1))</f>
        <v>2023</v>
      </c>
      <c r="C9" s="23">
        <f>IF(nominal_balance!A9="","",FV(input!$F$6,A9,-input!$F$16,,input!$C$7))</f>
        <v>438396.14756048226</v>
      </c>
      <c r="D9" s="23">
        <f>IF(nominal_balance!A9="","",PV((input!$C$12),A9,,-C9,input!$C$7))</f>
        <v>408900.00194371532</v>
      </c>
    </row>
    <row r="10" spans="1:4" x14ac:dyDescent="0.25">
      <c r="A10" s="5">
        <f>IF(nominal_balance!A10="","",nominal_balance!A10)</f>
        <v>8</v>
      </c>
      <c r="B10" s="5">
        <f>IF(nominal_balance!A10="","",(nominal_balance!B9+1))</f>
        <v>2024</v>
      </c>
      <c r="C10" s="23">
        <f>IF(nominal_balance!A10="","",FV(input!$F$6,A10,-input!$F$16,,input!$C$7))</f>
        <v>503504.12874058372</v>
      </c>
      <c r="D10" s="23">
        <f>IF(nominal_balance!A10="","",PV((input!$C$12),A10,,-C10,input!$C$7))</f>
        <v>464977.61534250324</v>
      </c>
    </row>
    <row r="11" spans="1:4" x14ac:dyDescent="0.25">
      <c r="A11" s="5">
        <f>IF(nominal_balance!A11="","",nominal_balance!A11)</f>
        <v>9</v>
      </c>
      <c r="B11" s="5">
        <f>IF(nominal_balance!A11="","",(nominal_balance!B10+1))</f>
        <v>2025</v>
      </c>
      <c r="C11" s="23">
        <f>IF(nominal_balance!A11="","",FV(input!$F$6,A11,-input!$F$16,,input!$C$7))</f>
        <v>569250.42346166703</v>
      </c>
      <c r="D11" s="23">
        <f>IF(nominal_balance!A11="","",PV((input!$C$12),A11,,-C11,input!$C$7))</f>
        <v>520488.33213643666</v>
      </c>
    </row>
    <row r="12" spans="1:4" x14ac:dyDescent="0.25">
      <c r="A12" s="5">
        <f>IF(nominal_balance!A12="","",nominal_balance!A12)</f>
        <v>10</v>
      </c>
      <c r="B12" s="5">
        <f>IF(nominal_balance!A12="","",(nominal_balance!B11+1))</f>
        <v>2026</v>
      </c>
      <c r="C12" s="23">
        <f>IF(nominal_balance!A12="","",FV(input!$F$6,A12,-input!$F$16,,input!$C$7))</f>
        <v>635641.28969962231</v>
      </c>
      <c r="D12" s="23">
        <f>IF(nominal_balance!A12="","",PV((input!$C$12),A12,,-C12,input!$C$7))</f>
        <v>575437.76742929127</v>
      </c>
    </row>
    <row r="13" spans="1:4" x14ac:dyDescent="0.25">
      <c r="A13" s="5">
        <f>IF(nominal_balance!A13="","",nominal_balance!A13)</f>
        <v>11</v>
      </c>
      <c r="B13" s="5">
        <f>IF(nominal_balance!A13="","",(nominal_balance!B12+1))</f>
        <v>2027</v>
      </c>
      <c r="C13" s="23">
        <f>IF(nominal_balance!A13="","",FV(input!$F$6,A13,-input!$F$16,,input!$C$7))</f>
        <v>702683.04678304819</v>
      </c>
      <c r="D13" s="23">
        <f>IF(nominal_balance!A13="","",PV((input!$C$12),A13,,-C13,input!$C$7))</f>
        <v>629831.48072931962</v>
      </c>
    </row>
    <row r="14" spans="1:4" x14ac:dyDescent="0.25">
      <c r="A14" s="5">
        <f>IF(nominal_balance!A14="","",nominal_balance!A14)</f>
        <v>12</v>
      </c>
      <c r="B14" s="5">
        <f>IF(nominal_balance!A14="","",(nominal_balance!B13+1))</f>
        <v>2028</v>
      </c>
      <c r="C14" s="23">
        <f>IF(nominal_balance!A14="","",FV(input!$F$6,A14,-input!$F$16,,input!$C$7))</f>
        <v>770382.07599474199</v>
      </c>
      <c r="D14" s="23">
        <f>IF(nominal_balance!A14="","",PV((input!$C$12),A14,,-C14,input!$C$7))</f>
        <v>683674.97649969452</v>
      </c>
    </row>
    <row r="15" spans="1:4" x14ac:dyDescent="0.25">
      <c r="A15" s="5">
        <f>IF(nominal_balance!A15="","",nominal_balance!A15)</f>
        <v>13</v>
      </c>
      <c r="B15" s="5">
        <f>IF(nominal_balance!A15="","",(nominal_balance!B14+1))</f>
        <v>2029</v>
      </c>
      <c r="C15" s="23">
        <f>IF(nominal_balance!A15="","",FV(input!$F$6,A15,-input!$F$16,,input!$C$7))</f>
        <v>838744.8211791002</v>
      </c>
      <c r="D15" s="23">
        <f>IF(nominal_balance!A15="","",PV((input!$C$12),A15,,-C15,input!$C$7))</f>
        <v>736973.70470351714</v>
      </c>
    </row>
    <row r="16" spans="1:4" x14ac:dyDescent="0.25">
      <c r="A16" s="5">
        <f>IF(nominal_balance!A16="","",nominal_balance!A16)</f>
        <v>14</v>
      </c>
      <c r="B16" s="5">
        <f>IF(nominal_balance!A16="","",(nominal_balance!B15+1))</f>
        <v>2030</v>
      </c>
      <c r="C16" s="23">
        <f>IF(nominal_balance!A16="","",FV(input!$F$6,A16,-input!$F$16,,input!$C$7))</f>
        <v>907777.78935546207</v>
      </c>
      <c r="D16" s="23">
        <f>IF(nominal_balance!A16="","",PV((input!$C$12),A16,,-C16,input!$C$7))</f>
        <v>789733.06134341587</v>
      </c>
    </row>
    <row r="17" spans="1:4" x14ac:dyDescent="0.25">
      <c r="A17" s="5">
        <f>IF(nominal_balance!A17="","",nominal_balance!A17)</f>
        <v>15</v>
      </c>
      <c r="B17" s="5">
        <f>IF(nominal_balance!A17="","",(nominal_balance!B16+1))</f>
        <v>2031</v>
      </c>
      <c r="C17" s="23">
        <f>IF(nominal_balance!A17="","",FV(input!$F$6,A17,-input!$F$16,,input!$C$7))</f>
        <v>977487.55133747542</v>
      </c>
      <c r="D17" s="23">
        <f>IF(nominal_balance!A17="","",PV((input!$C$12),A17,,-C17,input!$C$7))</f>
        <v>841958.38899581262</v>
      </c>
    </row>
    <row r="18" spans="1:4" x14ac:dyDescent="0.25">
      <c r="A18" s="5">
        <f>IF(nominal_balance!A18="","",nominal_balance!A18)</f>
        <v>16</v>
      </c>
      <c r="B18" s="5">
        <f>IF(nominal_balance!A18="","",(nominal_balance!B17+1))</f>
        <v>2032</v>
      </c>
      <c r="C18" s="23">
        <f>IF(nominal_balance!A18="","",FV(input!$F$6,A18,-input!$F$16,,input!$C$7))</f>
        <v>1047880.7423585277</v>
      </c>
      <c r="D18" s="23">
        <f>IF(nominal_balance!A18="","",PV((input!$C$12),A18,,-C18,input!$C$7))</f>
        <v>893654.97733989067</v>
      </c>
    </row>
    <row r="19" spans="1:4" x14ac:dyDescent="0.25">
      <c r="A19" s="5">
        <f>IF(nominal_balance!A19="","",nominal_balance!A19)</f>
        <v>17</v>
      </c>
      <c r="B19" s="5">
        <f>IF(nominal_balance!A19="","",(nominal_balance!B18+1))</f>
        <v>2033</v>
      </c>
      <c r="C19" s="23">
        <f>IF(nominal_balance!A19="","",FV(input!$F$6,A19,-input!$F$16,,input!$C$7))</f>
        <v>1118964.0627033159</v>
      </c>
      <c r="D19" s="23">
        <f>IF(nominal_balance!A19="","",PV((input!$C$12),A19,,-C19,input!$C$7))</f>
        <v>944828.0636813353</v>
      </c>
    </row>
    <row r="20" spans="1:4" x14ac:dyDescent="0.25">
      <c r="A20" s="5">
        <f>IF(nominal_balance!A20="","",nominal_balance!A20)</f>
        <v>18</v>
      </c>
      <c r="B20" s="5">
        <f>IF(nominal_balance!A20="","",(nominal_balance!B19+1))</f>
        <v>2034</v>
      </c>
      <c r="C20" s="23">
        <f>IF(nominal_balance!A20="","",FV(input!$F$6,A20,-input!$F$16,,input!$C$7))</f>
        <v>1190744.2783456016</v>
      </c>
      <c r="D20" s="23">
        <f>IF(nominal_balance!A20="","",PV((input!$C$12),A20,,-C20,input!$C$7))</f>
        <v>995482.83347087959</v>
      </c>
    </row>
    <row r="21" spans="1:4" x14ac:dyDescent="0.25">
      <c r="A21" s="5">
        <f>IF(nominal_balance!A21="","",nominal_balance!A21)</f>
        <v>19</v>
      </c>
      <c r="B21" s="5">
        <f>IF(nominal_balance!A21="","",(nominal_balance!B20+1))</f>
        <v>2035</v>
      </c>
      <c r="C21" s="23">
        <f>IF(nominal_balance!A21="","",FV(input!$F$6,A21,-input!$F$16,,input!$C$7))</f>
        <v>1263228.2215922226</v>
      </c>
      <c r="D21" s="23">
        <f>IF(nominal_balance!A21="","",PV((input!$C$12),A21,,-C21,input!$C$7))</f>
        <v>1045624.4208177211</v>
      </c>
    </row>
    <row r="22" spans="1:4" x14ac:dyDescent="0.25">
      <c r="A22" s="5">
        <f>IF(nominal_balance!A22="","",nominal_balance!A22)</f>
        <v>20</v>
      </c>
      <c r="B22" s="5">
        <f>IF(nominal_balance!A22="","",(nominal_balance!B21+1))</f>
        <v>2036</v>
      </c>
      <c r="C22" s="23">
        <f>IF(nominal_balance!A22="","",FV(input!$F$6,A22,-input!$F$16,,input!$C$7))</f>
        <v>1336422.7917334184</v>
      </c>
      <c r="D22" s="23">
        <f>IF(nominal_balance!A22="","",PV((input!$C$12),A22,,-C22,input!$C$7))</f>
        <v>1095257.908997854</v>
      </c>
    </row>
    <row r="23" spans="1:4" x14ac:dyDescent="0.25">
      <c r="A23" s="5" t="str">
        <f>IF(nominal_balance!A23="","",nominal_balance!A23)</f>
        <v/>
      </c>
      <c r="B23" s="5" t="str">
        <f>IF(nominal_balance!A23="","",(nominal_balance!B22+1))</f>
        <v/>
      </c>
      <c r="C23" s="23" t="str">
        <f>IF(nominal_balance!A23="","",FV(input!$F$6,A23,-input!$F$16,,input!$C$7))</f>
        <v/>
      </c>
      <c r="D23" s="23" t="str">
        <f>IF(nominal_balance!A23="","",PV((input!$C$12),A23,,-C23,input!$C$7))</f>
        <v/>
      </c>
    </row>
    <row r="24" spans="1:4" x14ac:dyDescent="0.25">
      <c r="A24" s="5" t="str">
        <f>IF(nominal_balance!A24="","",nominal_balance!A24)</f>
        <v/>
      </c>
      <c r="B24" s="5" t="str">
        <f>IF(nominal_balance!A24="","",(nominal_balance!B23+1))</f>
        <v/>
      </c>
      <c r="C24" s="23" t="str">
        <f>IF(nominal_balance!A24="","",FV(input!$F$6,A24,-input!$F$16,,input!$C$7))</f>
        <v/>
      </c>
      <c r="D24" s="23" t="str">
        <f>IF(nominal_balance!A24="","",PV((input!$C$12),A24,,-C24,input!$C$7))</f>
        <v/>
      </c>
    </row>
    <row r="25" spans="1:4" x14ac:dyDescent="0.25">
      <c r="A25" s="5" t="str">
        <f>IF(nominal_balance!A25="","",nominal_balance!A25)</f>
        <v/>
      </c>
      <c r="B25" s="5" t="str">
        <f>IF(nominal_balance!A25="","",(nominal_balance!B24+1))</f>
        <v/>
      </c>
      <c r="C25" s="23" t="str">
        <f>IF(nominal_balance!A25="","",FV(input!$F$6,A25,-input!$F$16,,input!$C$7))</f>
        <v/>
      </c>
      <c r="D25" s="23" t="str">
        <f>IF(nominal_balance!A25="","",PV((input!$C$12),A25,,-C25,input!$C$7))</f>
        <v/>
      </c>
    </row>
    <row r="26" spans="1:4" x14ac:dyDescent="0.25">
      <c r="A26" s="5" t="str">
        <f>IF(nominal_balance!A26="","",nominal_balance!A26)</f>
        <v/>
      </c>
      <c r="B26" s="5" t="str">
        <f>IF(nominal_balance!A26="","",(nominal_balance!B25+1))</f>
        <v/>
      </c>
      <c r="C26" s="23" t="str">
        <f>IF(nominal_balance!A26="","",FV(input!$F$6,A26,-input!$F$16,,input!$C$7))</f>
        <v/>
      </c>
      <c r="D26" s="23" t="str">
        <f>IF(nominal_balance!A26="","",PV((input!$C$12),A26,,-C26,input!$C$7))</f>
        <v/>
      </c>
    </row>
    <row r="27" spans="1:4" x14ac:dyDescent="0.25">
      <c r="A27" s="5" t="str">
        <f>IF(nominal_balance!A27="","",nominal_balance!A27)</f>
        <v/>
      </c>
      <c r="B27" s="5" t="str">
        <f>IF(nominal_balance!A27="","",(nominal_balance!B26+1))</f>
        <v/>
      </c>
      <c r="C27" s="23" t="str">
        <f>IF(nominal_balance!A27="","",FV(input!$F$6,A27,-input!$F$16,,input!$C$7))</f>
        <v/>
      </c>
      <c r="D27" s="23" t="str">
        <f>IF(nominal_balance!A27="","",PV((input!$C$12),A27,,-C27,input!$C$7))</f>
        <v/>
      </c>
    </row>
    <row r="28" spans="1:4" x14ac:dyDescent="0.25">
      <c r="A28" s="5" t="str">
        <f>IF(nominal_balance!A28="","",nominal_balance!A28)</f>
        <v/>
      </c>
      <c r="B28" s="5" t="str">
        <f>IF(nominal_balance!A28="","",(nominal_balance!B27+1))</f>
        <v/>
      </c>
      <c r="C28" s="23" t="str">
        <f>IF(nominal_balance!A28="","",FV(input!$F$6,A28,-input!$F$16,,input!$C$7))</f>
        <v/>
      </c>
      <c r="D28" s="23" t="str">
        <f>IF(nominal_balance!A28="","",PV((input!$C$12),A28,,-C28,input!$C$7))</f>
        <v/>
      </c>
    </row>
    <row r="29" spans="1:4" x14ac:dyDescent="0.25">
      <c r="A29" s="5" t="str">
        <f>IF(nominal_balance!A29="","",nominal_balance!A29)</f>
        <v/>
      </c>
      <c r="B29" s="5" t="str">
        <f>IF(nominal_balance!A29="","",(nominal_balance!B28+1))</f>
        <v/>
      </c>
      <c r="C29" s="23" t="str">
        <f>IF(nominal_balance!A29="","",FV(input!$F$6,A29,-input!$F$16,,input!$C$7))</f>
        <v/>
      </c>
      <c r="D29" s="23" t="str">
        <f>IF(nominal_balance!A29="","",PV((input!$C$12),A29,,-C29,input!$C$7))</f>
        <v/>
      </c>
    </row>
    <row r="30" spans="1:4" x14ac:dyDescent="0.25">
      <c r="A30" s="5" t="str">
        <f>IF(nominal_balance!A30="","",nominal_balance!A30)</f>
        <v/>
      </c>
      <c r="B30" s="5" t="str">
        <f>IF(nominal_balance!A30="","",(nominal_balance!B29+1))</f>
        <v/>
      </c>
      <c r="C30" s="23" t="str">
        <f>IF(nominal_balance!A30="","",FV(input!$F$6,A30,-input!$F$16,,input!$C$7))</f>
        <v/>
      </c>
      <c r="D30" s="23" t="str">
        <f>IF(nominal_balance!A30="","",PV((input!$C$12),A30,,-C30,input!$C$7))</f>
        <v/>
      </c>
    </row>
    <row r="31" spans="1:4" x14ac:dyDescent="0.25">
      <c r="A31" s="5" t="str">
        <f>IF(nominal_balance!A31="","",nominal_balance!A31)</f>
        <v/>
      </c>
      <c r="B31" s="5" t="str">
        <f>IF(nominal_balance!A31="","",(nominal_balance!B30+1))</f>
        <v/>
      </c>
      <c r="C31" s="23" t="str">
        <f>IF(nominal_balance!A31="","",FV(input!$F$6,A31,-input!$F$16,,input!$C$7))</f>
        <v/>
      </c>
      <c r="D31" s="23" t="str">
        <f>IF(nominal_balance!A31="","",PV((input!$C$12),A31,,-C31,input!$C$7))</f>
        <v/>
      </c>
    </row>
    <row r="32" spans="1:4" x14ac:dyDescent="0.25">
      <c r="A32" s="5" t="str">
        <f>IF(nominal_balance!A32="","",nominal_balance!A32)</f>
        <v/>
      </c>
      <c r="B32" s="5" t="str">
        <f>IF(nominal_balance!A32="","",(nominal_balance!B31+1))</f>
        <v/>
      </c>
      <c r="C32" s="23" t="str">
        <f>IF(nominal_balance!A32="","",FV(input!$F$6,A32,-input!$F$16,,input!$C$7))</f>
        <v/>
      </c>
      <c r="D32" s="23" t="str">
        <f>IF(nominal_balance!A32="","",PV((input!$C$12),A32,,-C32,input!$C$7))</f>
        <v/>
      </c>
    </row>
    <row r="33" spans="1:4" x14ac:dyDescent="0.25">
      <c r="A33" s="5" t="str">
        <f>IF(nominal_balance!A33="","",nominal_balance!A33)</f>
        <v/>
      </c>
      <c r="B33" s="5" t="str">
        <f>IF(nominal_balance!A33="","",(nominal_balance!B32+1))</f>
        <v/>
      </c>
      <c r="C33" s="23" t="str">
        <f>IF(nominal_balance!A33="","",FV(input!$F$6,A33,-input!$F$16,,input!$C$7))</f>
        <v/>
      </c>
      <c r="D33" s="23" t="str">
        <f>IF(nominal_balance!A33="","",PV((input!$C$12),A33,,-C33,input!$C$7))</f>
        <v/>
      </c>
    </row>
    <row r="34" spans="1:4" x14ac:dyDescent="0.25">
      <c r="A34" s="5" t="str">
        <f>IF(nominal_balance!A34="","",nominal_balance!A34)</f>
        <v/>
      </c>
      <c r="B34" s="5" t="str">
        <f>IF(nominal_balance!A34="","",(nominal_balance!B33+1))</f>
        <v/>
      </c>
      <c r="C34" s="23" t="str">
        <f>IF(nominal_balance!A34="","",FV(input!$F$6,A34,-input!$F$16,,input!$C$7))</f>
        <v/>
      </c>
      <c r="D34" s="23" t="str">
        <f>IF(nominal_balance!A34="","",PV((input!$C$12),A34,,-C34,input!$C$7))</f>
        <v/>
      </c>
    </row>
    <row r="35" spans="1:4" x14ac:dyDescent="0.25">
      <c r="A35" s="5" t="str">
        <f>IF(nominal_balance!A35="","",nominal_balance!A35)</f>
        <v/>
      </c>
      <c r="B35" s="5" t="str">
        <f>IF(nominal_balance!A35="","",(nominal_balance!B34+1))</f>
        <v/>
      </c>
      <c r="C35" s="23" t="str">
        <f>IF(nominal_balance!A35="","",FV(input!$F$6,A35,-input!$F$16,,input!$C$7))</f>
        <v/>
      </c>
      <c r="D35" s="23" t="str">
        <f>IF(nominal_balance!A35="","",PV((input!$C$12),A35,,-C35,input!$C$7))</f>
        <v/>
      </c>
    </row>
    <row r="36" spans="1:4" x14ac:dyDescent="0.25">
      <c r="A36" s="5" t="str">
        <f>IF(nominal_balance!A36="","",nominal_balance!A36)</f>
        <v/>
      </c>
      <c r="B36" s="5" t="str">
        <f>IF(nominal_balance!A36="","",(nominal_balance!B35+1))</f>
        <v/>
      </c>
      <c r="C36" s="23" t="str">
        <f>IF(nominal_balance!A36="","",FV(input!$F$6,A36,-input!$F$16,,input!$C$7))</f>
        <v/>
      </c>
      <c r="D36" s="23" t="str">
        <f>IF(nominal_balance!A36="","",PV((input!$C$12),A36,,-C36,input!$C$7))</f>
        <v/>
      </c>
    </row>
    <row r="37" spans="1:4" x14ac:dyDescent="0.25">
      <c r="A37" s="5" t="str">
        <f>IF(nominal_balance!A37="","",nominal_balance!A37)</f>
        <v/>
      </c>
      <c r="B37" s="5" t="str">
        <f>IF(nominal_balance!A37="","",(nominal_balance!B36+1))</f>
        <v/>
      </c>
      <c r="C37" s="23" t="str">
        <f>IF(nominal_balance!A37="","",FV(input!$F$6,A37,-input!$F$16,,input!$C$7))</f>
        <v/>
      </c>
      <c r="D37" s="23" t="str">
        <f>IF(nominal_balance!A37="","",PV((input!$C$12),A37,,-C37,input!$C$7))</f>
        <v/>
      </c>
    </row>
    <row r="38" spans="1:4" x14ac:dyDescent="0.25">
      <c r="A38" s="5" t="str">
        <f>IF(nominal_balance!A38="","",nominal_balance!A38)</f>
        <v/>
      </c>
      <c r="B38" s="5" t="str">
        <f>IF(nominal_balance!A38="","",(nominal_balance!B37+1))</f>
        <v/>
      </c>
      <c r="C38" s="23" t="str">
        <f>IF(nominal_balance!A38="","",FV(input!$F$6,A38,-input!$F$16,,input!$C$7))</f>
        <v/>
      </c>
      <c r="D38" s="23" t="str">
        <f>IF(nominal_balance!A38="","",PV((input!$C$12),A38,,-C38,input!$C$7))</f>
        <v/>
      </c>
    </row>
    <row r="39" spans="1:4" x14ac:dyDescent="0.25">
      <c r="A39" s="5" t="str">
        <f>IF(nominal_balance!A39="","",nominal_balance!A39)</f>
        <v/>
      </c>
      <c r="B39" s="5" t="str">
        <f>IF(nominal_balance!A39="","",(nominal_balance!B38+1))</f>
        <v/>
      </c>
      <c r="C39" s="23" t="str">
        <f>IF(nominal_balance!A39="","",FV(input!$F$6,A39,-input!$F$16,,input!$C$7))</f>
        <v/>
      </c>
      <c r="D39" s="23" t="str">
        <f>IF(nominal_balance!A39="","",PV((input!$C$12),A39,,-C39,input!$C$7))</f>
        <v/>
      </c>
    </row>
    <row r="40" spans="1:4" x14ac:dyDescent="0.25">
      <c r="A40" s="5" t="str">
        <f>IF(nominal_balance!A40="","",nominal_balance!A40)</f>
        <v/>
      </c>
      <c r="B40" s="5" t="str">
        <f>IF(nominal_balance!A40="","",(nominal_balance!B39+1))</f>
        <v/>
      </c>
      <c r="C40" s="23" t="str">
        <f>IF(nominal_balance!A40="","",FV(input!$F$6,A40,-input!$F$16,,input!$C$7))</f>
        <v/>
      </c>
      <c r="D40" s="23" t="str">
        <f>IF(nominal_balance!A40="","",PV((input!$C$12),A40,,-C40,input!$C$7))</f>
        <v/>
      </c>
    </row>
    <row r="41" spans="1:4" x14ac:dyDescent="0.25">
      <c r="A41" s="5" t="str">
        <f>IF(nominal_balance!A41="","",nominal_balance!A41)</f>
        <v/>
      </c>
      <c r="B41" s="5" t="str">
        <f>IF(nominal_balance!A41="","",(nominal_balance!B40+1))</f>
        <v/>
      </c>
      <c r="C41" s="23" t="str">
        <f>IF(nominal_balance!A41="","",FV(input!$F$6,A41,-input!$F$16,,input!$C$7))</f>
        <v/>
      </c>
      <c r="D41" s="23" t="str">
        <f>IF(nominal_balance!A41="","",PV((input!$C$12),A41,,-C41,input!$C$7))</f>
        <v/>
      </c>
    </row>
    <row r="42" spans="1:4" x14ac:dyDescent="0.25">
      <c r="A42" s="5" t="str">
        <f>IF(nominal_balance!A42="","",nominal_balance!A42)</f>
        <v/>
      </c>
      <c r="B42" s="5" t="str">
        <f>IF(nominal_balance!A42="","",(nominal_balance!B41+1))</f>
        <v/>
      </c>
      <c r="C42" s="23" t="str">
        <f>IF(nominal_balance!A42="","",FV(input!$F$6,A42,-input!$F$16,,input!$C$7))</f>
        <v/>
      </c>
      <c r="D42" s="23" t="str">
        <f>IF(nominal_balance!A42="","",PV((input!$C$12),A42,,-C42,input!$C$7))</f>
        <v/>
      </c>
    </row>
    <row r="43" spans="1:4" x14ac:dyDescent="0.25">
      <c r="A43" s="5" t="str">
        <f>IF(nominal_balance!A43="","",nominal_balance!A43)</f>
        <v/>
      </c>
      <c r="B43" s="5" t="str">
        <f>IF(nominal_balance!A43="","",(nominal_balance!B42+1))</f>
        <v/>
      </c>
      <c r="C43" s="23" t="str">
        <f>IF(nominal_balance!A43="","",FV(input!$F$6,A43,-input!$F$16,,input!$C$7))</f>
        <v/>
      </c>
      <c r="D43" s="23" t="str">
        <f>IF(nominal_balance!A43="","",PV((input!$C$12),A43,,-C43,input!$C$7))</f>
        <v/>
      </c>
    </row>
    <row r="44" spans="1:4" x14ac:dyDescent="0.25">
      <c r="A44" s="5" t="str">
        <f>IF(nominal_balance!A44="","",nominal_balance!A44)</f>
        <v/>
      </c>
      <c r="B44" s="5" t="str">
        <f>IF(nominal_balance!A44="","",(nominal_balance!B43+1))</f>
        <v/>
      </c>
      <c r="C44" s="23" t="str">
        <f>IF(nominal_balance!A44="","",FV(input!$F$6,A44,-input!$F$16,,input!$C$7))</f>
        <v/>
      </c>
      <c r="D44" s="23" t="str">
        <f>IF(nominal_balance!A44="","",PV((input!$C$12),A44,,-C44,input!$C$7))</f>
        <v/>
      </c>
    </row>
    <row r="45" spans="1:4" x14ac:dyDescent="0.25">
      <c r="A45" s="5" t="str">
        <f>IF(nominal_balance!A45="","",nominal_balance!A45)</f>
        <v/>
      </c>
      <c r="B45" s="5" t="str">
        <f>IF(nominal_balance!A45="","",(nominal_balance!B44+1))</f>
        <v/>
      </c>
      <c r="C45" s="23" t="str">
        <f>IF(nominal_balance!A45="","",FV(input!$F$6,A45,-input!$F$16,,input!$C$7))</f>
        <v/>
      </c>
      <c r="D45" s="23" t="str">
        <f>IF(nominal_balance!A45="","",PV((input!$C$12),A45,,-C45,input!$C$7))</f>
        <v/>
      </c>
    </row>
    <row r="46" spans="1:4" x14ac:dyDescent="0.25">
      <c r="A46" s="5" t="str">
        <f>IF(nominal_balance!A46="","",nominal_balance!A46)</f>
        <v/>
      </c>
      <c r="B46" s="5" t="str">
        <f>IF(nominal_balance!A46="","",(nominal_balance!B45+1))</f>
        <v/>
      </c>
      <c r="C46" s="23" t="str">
        <f>IF(nominal_balance!A46="","",FV(input!$F$6,A46,-input!$F$16,,input!$C$7))</f>
        <v/>
      </c>
      <c r="D46" s="23" t="str">
        <f>IF(nominal_balance!A46="","",PV((input!$C$12),A46,,-C46,input!$C$7))</f>
        <v/>
      </c>
    </row>
    <row r="47" spans="1:4" x14ac:dyDescent="0.25">
      <c r="A47" s="5" t="str">
        <f>IF(nominal_balance!A47="","",nominal_balance!A47)</f>
        <v/>
      </c>
      <c r="B47" s="5" t="str">
        <f>IF(nominal_balance!A47="","",(nominal_balance!B46+1))</f>
        <v/>
      </c>
      <c r="C47" s="23" t="str">
        <f>IF(nominal_balance!A47="","",FV(input!$F$6,A47,-input!$F$16,,input!$C$7))</f>
        <v/>
      </c>
      <c r="D47" s="23" t="str">
        <f>IF(nominal_balance!A47="","",PV((input!$C$12),A47,,-C47,input!$C$7))</f>
        <v/>
      </c>
    </row>
    <row r="48" spans="1:4" x14ac:dyDescent="0.25">
      <c r="A48" s="5" t="str">
        <f>IF(nominal_balance!A48="","",nominal_balance!A48)</f>
        <v/>
      </c>
      <c r="B48" s="5" t="str">
        <f>IF(nominal_balance!A48="","",(nominal_balance!B47+1))</f>
        <v/>
      </c>
      <c r="C48" s="23" t="str">
        <f>IF(nominal_balance!A48="","",FV(input!$F$6,A48,-input!$F$16,,input!$C$7))</f>
        <v/>
      </c>
      <c r="D48" s="23" t="str">
        <f>IF(nominal_balance!A48="","",PV((input!$C$12),A48,,-C48,input!$C$7))</f>
        <v/>
      </c>
    </row>
    <row r="49" spans="1:4" x14ac:dyDescent="0.25">
      <c r="A49" s="5" t="str">
        <f>IF(nominal_balance!A49="","",nominal_balance!A49)</f>
        <v/>
      </c>
      <c r="B49" s="5" t="str">
        <f>IF(nominal_balance!A49="","",(nominal_balance!B48+1))</f>
        <v/>
      </c>
      <c r="C49" s="23" t="str">
        <f>IF(nominal_balance!A49="","",FV(input!$F$6,A49,-input!$F$16,,input!$C$7))</f>
        <v/>
      </c>
      <c r="D49" s="23" t="str">
        <f>IF(nominal_balance!A49="","",PV((input!$C$12),A49,,-C49,input!$C$7))</f>
        <v/>
      </c>
    </row>
    <row r="50" spans="1:4" x14ac:dyDescent="0.25">
      <c r="A50" s="5" t="str">
        <f>IF(nominal_balance!A50="","",nominal_balance!A50)</f>
        <v/>
      </c>
      <c r="B50" s="5" t="str">
        <f>IF(nominal_balance!A50="","",(nominal_balance!B49+1))</f>
        <v/>
      </c>
      <c r="C50" s="23" t="str">
        <f>IF(nominal_balance!A50="","",FV(input!$F$6,A50,-input!$F$16,,input!$C$7))</f>
        <v/>
      </c>
      <c r="D50" s="23" t="str">
        <f>IF(nominal_balance!A50="","",PV((input!$C$12),A50,,-C50,input!$C$7))</f>
        <v/>
      </c>
    </row>
    <row r="51" spans="1:4" x14ac:dyDescent="0.25">
      <c r="A51" s="5" t="str">
        <f>IF(nominal_balance!A51="","",nominal_balance!A51)</f>
        <v/>
      </c>
      <c r="B51" s="5" t="str">
        <f>IF(nominal_balance!A51="","",(nominal_balance!B50+1))</f>
        <v/>
      </c>
      <c r="C51" s="23" t="str">
        <f>IF(nominal_balance!A51="","",FV(input!$F$6,A51,-input!$F$16,,input!$C$7))</f>
        <v/>
      </c>
      <c r="D51" s="23" t="str">
        <f>IF(nominal_balance!A51="","",PV((input!$C$12),A51,,-C51,input!$C$7))</f>
        <v/>
      </c>
    </row>
    <row r="52" spans="1:4" x14ac:dyDescent="0.25">
      <c r="A52" s="5" t="str">
        <f>IF(nominal_balance!A52="","",nominal_balance!A52)</f>
        <v/>
      </c>
      <c r="B52" s="5" t="str">
        <f>IF(nominal_balance!A52="","",(nominal_balance!B51+1))</f>
        <v/>
      </c>
      <c r="C52" s="23" t="str">
        <f>IF(nominal_balance!A52="","",FV(input!$F$6,A52,-input!$F$16,,input!$C$7))</f>
        <v/>
      </c>
      <c r="D52" s="23" t="str">
        <f>IF(nominal_balance!A52="","",PV((input!$C$12),A52,,-C52,input!$C$7))</f>
        <v/>
      </c>
    </row>
    <row r="53" spans="1:4" x14ac:dyDescent="0.25">
      <c r="A53" s="5" t="str">
        <f>IF(nominal_balance!A53="","",nominal_balance!A53)</f>
        <v/>
      </c>
      <c r="B53" s="5" t="str">
        <f>IF(nominal_balance!A53="","",(nominal_balance!B52+1))</f>
        <v/>
      </c>
      <c r="C53" s="23" t="str">
        <f>IF(nominal_balance!A53="","",FV(input!$F$6,A53,-input!$F$16,,input!$C$7))</f>
        <v/>
      </c>
      <c r="D53" s="23" t="str">
        <f>IF(nominal_balance!A53="","",PV((input!$C$12),A53,,-C53,input!$C$7))</f>
        <v/>
      </c>
    </row>
    <row r="54" spans="1:4" x14ac:dyDescent="0.25">
      <c r="A54" s="5" t="str">
        <f>IF(nominal_balance!A54="","",nominal_balance!A54)</f>
        <v/>
      </c>
      <c r="B54" s="5" t="str">
        <f>IF(nominal_balance!A54="","",(nominal_balance!B53+1))</f>
        <v/>
      </c>
      <c r="C54" s="23" t="str">
        <f>IF(nominal_balance!A54="","",FV(input!$F$6,A54,-input!$F$16,,input!$C$7))</f>
        <v/>
      </c>
      <c r="D54" s="23" t="str">
        <f>IF(nominal_balance!A54="","",PV((input!$C$12),A54,,-C54,input!$C$7))</f>
        <v/>
      </c>
    </row>
    <row r="55" spans="1:4" x14ac:dyDescent="0.25">
      <c r="A55" s="5" t="str">
        <f>IF(nominal_balance!A55="","",nominal_balance!A55)</f>
        <v/>
      </c>
      <c r="B55" s="5" t="str">
        <f>IF(nominal_balance!A55="","",(nominal_balance!B54+1))</f>
        <v/>
      </c>
      <c r="C55" s="23" t="str">
        <f>IF(nominal_balance!A55="","",FV(input!$F$6,A55,-input!$F$16,,input!$C$7))</f>
        <v/>
      </c>
      <c r="D55" s="23" t="str">
        <f>IF(nominal_balance!A55="","",PV((input!$C$12),A55,,-C55,input!$C$7))</f>
        <v/>
      </c>
    </row>
    <row r="56" spans="1:4" x14ac:dyDescent="0.25">
      <c r="A56" s="5" t="str">
        <f>IF(nominal_balance!A56="","",nominal_balance!A56)</f>
        <v/>
      </c>
      <c r="B56" s="5" t="str">
        <f>IF(nominal_balance!A56="","",(nominal_balance!B55+1))</f>
        <v/>
      </c>
      <c r="C56" s="23" t="str">
        <f>IF(nominal_balance!A56="","",FV(input!$F$6,A56,-input!$F$16,,input!$C$7))</f>
        <v/>
      </c>
      <c r="D56" s="23" t="str">
        <f>IF(nominal_balance!A56="","",PV((input!$C$12),A56,,-C56,input!$C$7))</f>
        <v/>
      </c>
    </row>
    <row r="57" spans="1:4" x14ac:dyDescent="0.25">
      <c r="A57" s="5" t="str">
        <f>IF(nominal_balance!A57="","",nominal_balance!A57)</f>
        <v/>
      </c>
      <c r="B57" s="5" t="str">
        <f>IF(nominal_balance!A57="","",(nominal_balance!B56+1))</f>
        <v/>
      </c>
      <c r="C57" s="23" t="str">
        <f>IF(nominal_balance!A57="","",FV(input!$F$6,A57,-input!$F$16,,input!$C$7))</f>
        <v/>
      </c>
      <c r="D57" s="23" t="str">
        <f>IF(nominal_balance!A57="","",PV((input!$C$12),A57,,-C57,input!$C$7))</f>
        <v/>
      </c>
    </row>
    <row r="58" spans="1:4" x14ac:dyDescent="0.25">
      <c r="A58" s="5" t="str">
        <f>IF(nominal_balance!A58="","",nominal_balance!A58)</f>
        <v/>
      </c>
      <c r="B58" s="5" t="str">
        <f>IF(nominal_balance!A58="","",(nominal_balance!B57+1))</f>
        <v/>
      </c>
      <c r="C58" s="23" t="str">
        <f>IF(nominal_balance!A58="","",FV(input!$F$6,A58,-input!$F$16,,input!$C$7))</f>
        <v/>
      </c>
      <c r="D58" s="23" t="str">
        <f>IF(nominal_balance!A58="","",PV((input!$C$12),A58,,-C58,input!$C$7))</f>
        <v/>
      </c>
    </row>
    <row r="59" spans="1:4" x14ac:dyDescent="0.25">
      <c r="A59" s="5" t="str">
        <f>IF(nominal_balance!A59="","",nominal_balance!A59)</f>
        <v/>
      </c>
      <c r="B59" s="5" t="str">
        <f>IF(nominal_balance!A59="","",(nominal_balance!B58+1))</f>
        <v/>
      </c>
      <c r="C59" s="23" t="str">
        <f>IF(nominal_balance!A59="","",FV(input!$F$6,A59,-input!$F$16,,input!$C$7))</f>
        <v/>
      </c>
      <c r="D59" s="23" t="str">
        <f>IF(nominal_balance!A59="","",PV((input!$C$12),A59,,-C59,input!$C$7))</f>
        <v/>
      </c>
    </row>
    <row r="60" spans="1:4" x14ac:dyDescent="0.25">
      <c r="A60" s="5" t="str">
        <f>IF(nominal_balance!A60="","",nominal_balance!A60)</f>
        <v/>
      </c>
      <c r="B60" s="5" t="str">
        <f>IF(nominal_balance!A60="","",(nominal_balance!B59+1))</f>
        <v/>
      </c>
      <c r="C60" s="23" t="str">
        <f>IF(nominal_balance!A60="","",FV(input!$F$6,A60,-input!$F$16,,input!$C$7))</f>
        <v/>
      </c>
      <c r="D60" s="23" t="str">
        <f>IF(nominal_balance!A60="","",PV((input!$C$12),A60,,-C60,input!$C$7))</f>
        <v/>
      </c>
    </row>
    <row r="61" spans="1:4" x14ac:dyDescent="0.25">
      <c r="A61" s="5" t="str">
        <f>IF(nominal_balance!A61="","",nominal_balance!A61)</f>
        <v/>
      </c>
      <c r="B61" s="5" t="str">
        <f>IF(nominal_balance!A61="","",(nominal_balance!B60+1))</f>
        <v/>
      </c>
      <c r="C61" s="23" t="str">
        <f>IF(nominal_balance!A61="","",FV(input!$F$6,A61,-input!$F$16,,input!$C$7))</f>
        <v/>
      </c>
      <c r="D61" s="23" t="str">
        <f>IF(nominal_balance!A61="","",PV((input!$C$12),A61,,-C61,input!$C$7))</f>
        <v/>
      </c>
    </row>
    <row r="62" spans="1:4" x14ac:dyDescent="0.25">
      <c r="A62" s="5" t="str">
        <f>IF(nominal_balance!A62="","",nominal_balance!A62)</f>
        <v/>
      </c>
      <c r="B62" s="5" t="str">
        <f>IF(nominal_balance!A62="","",(nominal_balance!B61+1))</f>
        <v/>
      </c>
      <c r="C62" s="23" t="str">
        <f>IF(nominal_balance!A62="","",FV(input!$F$6,A62,-input!$F$16,,input!$C$7))</f>
        <v/>
      </c>
      <c r="D62" s="23" t="str">
        <f>IF(nominal_balance!A62="","",PV((input!$C$12),A62,,-C62,input!$C$7))</f>
        <v/>
      </c>
    </row>
    <row r="63" spans="1:4" x14ac:dyDescent="0.25">
      <c r="A63" s="5" t="str">
        <f>IF(nominal_balance!A63="","",nominal_balance!A63)</f>
        <v/>
      </c>
      <c r="B63" s="5" t="str">
        <f>IF(nominal_balance!A63="","",(nominal_balance!B62+1))</f>
        <v/>
      </c>
      <c r="C63" s="23" t="str">
        <f>IF(nominal_balance!A63="","",FV(input!$F$6,A63,-input!$F$16,,input!$C$7))</f>
        <v/>
      </c>
      <c r="D63" s="23" t="str">
        <f>IF(nominal_balance!A63="","",PV((input!$C$12),A63,,-C63,input!$C$7))</f>
        <v/>
      </c>
    </row>
    <row r="64" spans="1:4" x14ac:dyDescent="0.25">
      <c r="A64" s="5" t="str">
        <f>IF(nominal_balance!A64="","",nominal_balance!A64)</f>
        <v/>
      </c>
      <c r="B64" s="5" t="str">
        <f>IF(nominal_balance!A64="","",(nominal_balance!B63+1))</f>
        <v/>
      </c>
      <c r="C64" s="23" t="str">
        <f>IF(nominal_balance!A64="","",FV(input!$F$6,A64,-input!$F$16,,input!$C$7))</f>
        <v/>
      </c>
      <c r="D64" s="23" t="str">
        <f>IF(nominal_balance!A64="","",PV((input!$C$12),A64,,-C64,input!$C$7))</f>
        <v/>
      </c>
    </row>
    <row r="65" spans="1:4" x14ac:dyDescent="0.25">
      <c r="A65" s="5" t="str">
        <f>IF(nominal_balance!A65="","",nominal_balance!A65)</f>
        <v/>
      </c>
      <c r="B65" s="5" t="str">
        <f>IF(nominal_balance!A65="","",(nominal_balance!B64+1))</f>
        <v/>
      </c>
      <c r="C65" s="23" t="str">
        <f>IF(nominal_balance!A65="","",FV(input!$F$6,A65,-input!$F$16,,input!$C$7))</f>
        <v/>
      </c>
      <c r="D65" s="23" t="str">
        <f>IF(nominal_balance!A65="","",PV((input!$C$12),A65,,-C65,input!$C$7))</f>
        <v/>
      </c>
    </row>
    <row r="66" spans="1:4" x14ac:dyDescent="0.25">
      <c r="A66" s="5" t="str">
        <f>IF(nominal_balance!A66="","",nominal_balance!A66)</f>
        <v/>
      </c>
      <c r="B66" s="5" t="str">
        <f>IF(nominal_balance!A66="","",(nominal_balance!B65+1))</f>
        <v/>
      </c>
      <c r="C66" s="23" t="str">
        <f>IF(nominal_balance!A66="","",FV(input!$F$6,A66,-input!$F$16,,input!$C$7))</f>
        <v/>
      </c>
      <c r="D66" s="23" t="str">
        <f>IF(nominal_balance!A66="","",PV((input!$C$12),A66,,-C66,input!$C$7))</f>
        <v/>
      </c>
    </row>
    <row r="67" spans="1:4" x14ac:dyDescent="0.25">
      <c r="A67" s="5" t="str">
        <f>IF(nominal_balance!A67="","",nominal_balance!A67)</f>
        <v/>
      </c>
      <c r="B67" s="5" t="str">
        <f>IF(nominal_balance!A67="","",(nominal_balance!B66+1))</f>
        <v/>
      </c>
      <c r="C67" s="23" t="str">
        <f>IF(nominal_balance!A67="","",FV(input!$F$6,A67,-input!$F$16,,input!$C$7))</f>
        <v/>
      </c>
      <c r="D67" s="23" t="str">
        <f>IF(nominal_balance!A67="","",PV((input!$C$12),A67,,-C67,input!$C$7))</f>
        <v/>
      </c>
    </row>
    <row r="68" spans="1:4" x14ac:dyDescent="0.25">
      <c r="A68" s="5" t="str">
        <f>IF(nominal_balance!A68="","",nominal_balance!A68)</f>
        <v/>
      </c>
      <c r="B68" s="5" t="str">
        <f>IF(nominal_balance!A68="","",(nominal_balance!B67+1))</f>
        <v/>
      </c>
      <c r="C68" s="23" t="str">
        <f>IF(nominal_balance!A68="","",FV(input!$F$6,A68,-input!$F$16,,input!$C$7))</f>
        <v/>
      </c>
      <c r="D68" s="23" t="str">
        <f>IF(nominal_balance!A68="","",PV((input!$C$12),A68,,-C68,input!$C$7))</f>
        <v/>
      </c>
    </row>
    <row r="69" spans="1:4" x14ac:dyDescent="0.25">
      <c r="A69" s="5" t="str">
        <f>IF(nominal_balance!A69="","",nominal_balance!A69)</f>
        <v/>
      </c>
      <c r="B69" s="5" t="str">
        <f>IF(nominal_balance!A69="","",(nominal_balance!B68+1))</f>
        <v/>
      </c>
      <c r="C69" s="23" t="str">
        <f>IF(nominal_balance!A69="","",FV(input!$F$6,A69,-input!$F$16,,input!$C$7))</f>
        <v/>
      </c>
      <c r="D69" s="23" t="str">
        <f>IF(nominal_balance!A69="","",PV((input!$C$12),A69,,-C69,input!$C$7))</f>
        <v/>
      </c>
    </row>
    <row r="70" spans="1:4" x14ac:dyDescent="0.25">
      <c r="A70" s="5" t="str">
        <f>IF(nominal_balance!A70="","",nominal_balance!A70)</f>
        <v/>
      </c>
      <c r="B70" s="5" t="str">
        <f>IF(nominal_balance!A70="","",(nominal_balance!B69+1))</f>
        <v/>
      </c>
      <c r="C70" s="23" t="str">
        <f>IF(nominal_balance!A70="","",FV(input!$F$6,A70,-input!$F$16,,input!$C$7))</f>
        <v/>
      </c>
      <c r="D70" s="23" t="str">
        <f>IF(nominal_balance!A70="","",PV((input!$C$12),A70,,-C70,input!$C$7))</f>
        <v/>
      </c>
    </row>
    <row r="71" spans="1:4" x14ac:dyDescent="0.25">
      <c r="A71" s="5" t="str">
        <f>IF(nominal_balance!A71="","",nominal_balance!A71)</f>
        <v/>
      </c>
      <c r="B71" s="5" t="str">
        <f>IF(nominal_balance!A71="","",(nominal_balance!B70+1))</f>
        <v/>
      </c>
      <c r="C71" s="23" t="str">
        <f>IF(nominal_balance!A71="","",FV(input!$F$6,A71,-input!$F$16,,input!$C$7))</f>
        <v/>
      </c>
      <c r="D71" s="23" t="str">
        <f>IF(nominal_balance!A71="","",PV((input!$C$12),A71,,-C71,input!$C$7))</f>
        <v/>
      </c>
    </row>
    <row r="72" spans="1:4" x14ac:dyDescent="0.25">
      <c r="A72" s="5" t="str">
        <f>IF(nominal_balance!A72="","",nominal_balance!A72)</f>
        <v/>
      </c>
      <c r="B72" s="5" t="str">
        <f>IF(nominal_balance!A72="","",(nominal_balance!B71+1))</f>
        <v/>
      </c>
      <c r="C72" s="23" t="str">
        <f>IF(nominal_balance!A72="","",FV(input!$F$6,A72,-input!$F$16,,input!$C$7))</f>
        <v/>
      </c>
      <c r="D72" s="23" t="str">
        <f>IF(nominal_balance!A72="","",PV((input!$C$12),A72,,-C72,input!$C$7))</f>
        <v/>
      </c>
    </row>
    <row r="73" spans="1:4" x14ac:dyDescent="0.25">
      <c r="A73" s="5" t="str">
        <f>IF(nominal_balance!A73="","",nominal_balance!A73)</f>
        <v/>
      </c>
      <c r="B73" s="5" t="str">
        <f>IF(nominal_balance!A73="","",(nominal_balance!B72+1))</f>
        <v/>
      </c>
      <c r="C73" s="23" t="str">
        <f>IF(nominal_balance!A73="","",FV(input!$F$6,A73,-input!$F$16,,input!$C$7))</f>
        <v/>
      </c>
      <c r="D73" s="23" t="str">
        <f>IF(nominal_balance!A73="","",PV((input!$C$12),A73,,-C73,input!$C$7))</f>
        <v/>
      </c>
    </row>
    <row r="74" spans="1:4" x14ac:dyDescent="0.25">
      <c r="A74" s="5" t="str">
        <f>IF(nominal_balance!A74="","",nominal_balance!A74)</f>
        <v/>
      </c>
      <c r="B74" s="5" t="str">
        <f>IF(nominal_balance!A74="","",(nominal_balance!B73+1))</f>
        <v/>
      </c>
      <c r="C74" s="23" t="str">
        <f>IF(nominal_balance!A74="","",FV(input!$F$6,A74,-input!$F$16,,input!$C$7))</f>
        <v/>
      </c>
      <c r="D74" s="23" t="str">
        <f>IF(nominal_balance!A74="","",PV((input!$C$12),A74,,-C74,input!$C$7))</f>
        <v/>
      </c>
    </row>
    <row r="75" spans="1:4" x14ac:dyDescent="0.25">
      <c r="A75" s="5" t="str">
        <f>IF(nominal_balance!A75="","",nominal_balance!A75)</f>
        <v/>
      </c>
      <c r="B75" s="5" t="str">
        <f>IF(nominal_balance!A75="","",(nominal_balance!B74+1))</f>
        <v/>
      </c>
      <c r="C75" s="23" t="str">
        <f>IF(nominal_balance!A75="","",FV(input!$F$6,A75,-input!$F$16,,input!$C$7))</f>
        <v/>
      </c>
      <c r="D75" s="23" t="str">
        <f>IF(nominal_balance!A75="","",PV((input!$C$12),A75,,-C75,input!$C$7))</f>
        <v/>
      </c>
    </row>
    <row r="76" spans="1:4" x14ac:dyDescent="0.25">
      <c r="A76" s="5" t="str">
        <f>IF(nominal_balance!A76="","",nominal_balance!A76)</f>
        <v/>
      </c>
      <c r="B76" s="5" t="str">
        <f>IF(nominal_balance!A76="","",(nominal_balance!B75+1))</f>
        <v/>
      </c>
      <c r="C76" s="23" t="str">
        <f>IF(nominal_balance!A76="","",FV(input!$F$6,A76,-input!$F$16,,input!$C$7))</f>
        <v/>
      </c>
      <c r="D76" s="23" t="str">
        <f>IF(nominal_balance!A76="","",PV((input!$C$12),A76,,-C76,input!$C$7))</f>
        <v/>
      </c>
    </row>
    <row r="77" spans="1:4" x14ac:dyDescent="0.25">
      <c r="A77" s="5" t="str">
        <f>IF(nominal_balance!A77="","",nominal_balance!A77)</f>
        <v/>
      </c>
      <c r="B77" s="5" t="str">
        <f>IF(nominal_balance!A77="","",(nominal_balance!B76+1))</f>
        <v/>
      </c>
      <c r="C77" s="23" t="str">
        <f>IF(nominal_balance!A77="","",FV(input!$F$6,A77,-input!$F$16,,input!$C$7))</f>
        <v/>
      </c>
      <c r="D77" s="23" t="str">
        <f>IF(nominal_balance!A77="","",PV((input!$C$12),A77,,-C77,input!$C$7))</f>
        <v/>
      </c>
    </row>
    <row r="78" spans="1:4" x14ac:dyDescent="0.25">
      <c r="A78" s="5" t="str">
        <f>IF(nominal_balance!A78="","",nominal_balance!A78)</f>
        <v/>
      </c>
      <c r="B78" s="5" t="str">
        <f>IF(nominal_balance!A78="","",(nominal_balance!B77+1))</f>
        <v/>
      </c>
      <c r="C78" s="23" t="str">
        <f>IF(nominal_balance!A78="","",FV(input!$F$6,A78,-input!$F$16,,input!$C$7))</f>
        <v/>
      </c>
      <c r="D78" s="23" t="str">
        <f>IF(nominal_balance!A78="","",PV((input!$C$12),A78,,-C78,input!$C$7))</f>
        <v/>
      </c>
    </row>
    <row r="79" spans="1:4" x14ac:dyDescent="0.25">
      <c r="A79" s="5" t="str">
        <f>IF(nominal_balance!A79="","",nominal_balance!A79)</f>
        <v/>
      </c>
      <c r="B79" s="5" t="str">
        <f>IF(nominal_balance!A79="","",(nominal_balance!B78+1))</f>
        <v/>
      </c>
      <c r="C79" s="23" t="str">
        <f>IF(nominal_balance!A79="","",FV(input!$F$6,A79,-input!$F$16,,input!$C$7))</f>
        <v/>
      </c>
      <c r="D79" s="23" t="str">
        <f>IF(nominal_balance!A79="","",PV((input!$C$12),A79,,-C79,input!$C$7))</f>
        <v/>
      </c>
    </row>
    <row r="80" spans="1:4" x14ac:dyDescent="0.25">
      <c r="A80" s="5" t="str">
        <f>IF(nominal_balance!A80="","",nominal_balance!A80)</f>
        <v/>
      </c>
      <c r="B80" s="5" t="str">
        <f>IF(nominal_balance!A80="","",(nominal_balance!B79+1))</f>
        <v/>
      </c>
      <c r="C80" s="23" t="str">
        <f>IF(nominal_balance!A80="","",FV(input!$F$6,A80,-input!$F$16,,input!$C$7))</f>
        <v/>
      </c>
      <c r="D80" s="23" t="str">
        <f>IF(nominal_balance!A80="","",PV((input!$C$12),A80,,-C80,input!$C$7))</f>
        <v/>
      </c>
    </row>
    <row r="81" spans="1:4" x14ac:dyDescent="0.25">
      <c r="A81" s="5" t="str">
        <f>IF(nominal_balance!A81="","",nominal_balance!A81)</f>
        <v/>
      </c>
      <c r="B81" s="5" t="str">
        <f>IF(nominal_balance!A81="","",(nominal_balance!B80+1))</f>
        <v/>
      </c>
      <c r="C81" s="23" t="str">
        <f>IF(nominal_balance!A81="","",FV(input!$F$6,A81,-input!$F$16,,input!$C$7))</f>
        <v/>
      </c>
      <c r="D81" s="23" t="str">
        <f>IF(nominal_balance!A81="","",PV((input!$C$12),A81,,-C81,input!$C$7))</f>
        <v/>
      </c>
    </row>
    <row r="82" spans="1:4" x14ac:dyDescent="0.25">
      <c r="A82" s="5" t="str">
        <f>IF(nominal_balance!A82="","",nominal_balance!A82)</f>
        <v/>
      </c>
      <c r="B82" s="5" t="str">
        <f>IF(nominal_balance!A82="","",(nominal_balance!B81+1))</f>
        <v/>
      </c>
      <c r="C82" s="23" t="str">
        <f>IF(nominal_balance!A82="","",FV(input!$F$6,A82,-input!$F$16,,input!$C$7))</f>
        <v/>
      </c>
      <c r="D82" s="23" t="str">
        <f>IF(nominal_balance!A82="","",PV((input!$C$12),A82,,-C82,input!$C$7))</f>
        <v/>
      </c>
    </row>
    <row r="83" spans="1:4" x14ac:dyDescent="0.25">
      <c r="A83" s="5" t="str">
        <f>IF(nominal_balance!A83="","",nominal_balance!A83)</f>
        <v/>
      </c>
      <c r="B83" s="5" t="str">
        <f>IF(nominal_balance!A83="","",(nominal_balance!B82+1))</f>
        <v/>
      </c>
      <c r="C83" s="23" t="str">
        <f>IF(nominal_balance!A83="","",FV(input!$F$6,A83,-input!$F$16,,input!$C$7))</f>
        <v/>
      </c>
      <c r="D83" s="23" t="str">
        <f>IF(nominal_balance!A83="","",PV((input!$C$12),A83,,-C83,input!$C$7))</f>
        <v/>
      </c>
    </row>
    <row r="84" spans="1:4" x14ac:dyDescent="0.25">
      <c r="A84" s="5" t="str">
        <f>IF(nominal_balance!A84="","",nominal_balance!A84)</f>
        <v/>
      </c>
      <c r="B84" s="5" t="str">
        <f>IF(nominal_balance!A84="","",(nominal_balance!B83+1))</f>
        <v/>
      </c>
      <c r="C84" s="23" t="str">
        <f>IF(nominal_balance!A84="","",FV(input!$F$6,A84,-input!$F$16,,input!$C$7))</f>
        <v/>
      </c>
      <c r="D84" s="23" t="str">
        <f>IF(nominal_balance!A84="","",PV((input!$C$12),A84,,-C84,input!$C$7))</f>
        <v/>
      </c>
    </row>
    <row r="85" spans="1:4" x14ac:dyDescent="0.25">
      <c r="A85" s="5" t="str">
        <f>IF(nominal_balance!A85="","",nominal_balance!A85)</f>
        <v/>
      </c>
      <c r="B85" s="5" t="str">
        <f>IF(nominal_balance!A85="","",(nominal_balance!B84+1))</f>
        <v/>
      </c>
      <c r="C85" s="23" t="str">
        <f>IF(nominal_balance!A85="","",FV(input!$F$6,A85,-input!$F$16,,input!$C$7))</f>
        <v/>
      </c>
      <c r="D85" s="23" t="str">
        <f>IF(nominal_balance!A85="","",PV((input!$C$12),A85,,-C85,input!$C$7))</f>
        <v/>
      </c>
    </row>
    <row r="86" spans="1:4" x14ac:dyDescent="0.25">
      <c r="A86" s="5" t="str">
        <f>IF(nominal_balance!A86="","",nominal_balance!A86)</f>
        <v/>
      </c>
      <c r="B86" s="5" t="str">
        <f>IF(nominal_balance!A86="","",(nominal_balance!B85+1))</f>
        <v/>
      </c>
      <c r="C86" s="23" t="str">
        <f>IF(nominal_balance!A86="","",FV(input!$F$6,A86,-input!$F$16,,input!$C$7))</f>
        <v/>
      </c>
      <c r="D86" s="23" t="str">
        <f>IF(nominal_balance!A86="","",PV((input!$C$12),A86,,-C86,input!$C$7))</f>
        <v/>
      </c>
    </row>
    <row r="87" spans="1:4" x14ac:dyDescent="0.25">
      <c r="A87" s="5" t="str">
        <f>IF(nominal_balance!A87="","",nominal_balance!A87)</f>
        <v/>
      </c>
      <c r="B87" s="5" t="str">
        <f>IF(nominal_balance!A87="","",(nominal_balance!B86+1))</f>
        <v/>
      </c>
      <c r="C87" s="23" t="str">
        <f>IF(nominal_balance!A87="","",FV(input!$F$6,A87,-input!$F$16,,input!$C$7))</f>
        <v/>
      </c>
      <c r="D87" s="23" t="str">
        <f>IF(nominal_balance!A87="","",PV((input!$C$12),A87,,-C87,input!$C$7))</f>
        <v/>
      </c>
    </row>
    <row r="88" spans="1:4" x14ac:dyDescent="0.25">
      <c r="A88" s="5" t="str">
        <f>IF(nominal_balance!A88="","",nominal_balance!A88)</f>
        <v/>
      </c>
      <c r="B88" s="5" t="str">
        <f>IF(nominal_balance!A88="","",(nominal_balance!B87+1))</f>
        <v/>
      </c>
      <c r="C88" s="23" t="str">
        <f>IF(nominal_balance!A88="","",FV(input!$F$6,A88,-input!$F$16,,input!$C$7))</f>
        <v/>
      </c>
      <c r="D88" s="23" t="str">
        <f>IF(nominal_balance!A88="","",PV((input!$C$12),A88,,-C88,input!$C$7))</f>
        <v/>
      </c>
    </row>
    <row r="89" spans="1:4" x14ac:dyDescent="0.25">
      <c r="A89" s="5" t="str">
        <f>IF(nominal_balance!A89="","",nominal_balance!A89)</f>
        <v/>
      </c>
      <c r="B89" s="5" t="str">
        <f>IF(nominal_balance!A89="","",(nominal_balance!B88+1))</f>
        <v/>
      </c>
      <c r="C89" s="23" t="str">
        <f>IF(nominal_balance!A89="","",FV(input!$F$6,A89,-input!$F$16,,input!$C$7))</f>
        <v/>
      </c>
      <c r="D89" s="23" t="str">
        <f>IF(nominal_balance!A89="","",PV((input!$C$12),A89,,-C89,input!$C$7))</f>
        <v/>
      </c>
    </row>
    <row r="90" spans="1:4" x14ac:dyDescent="0.25">
      <c r="A90" s="5" t="str">
        <f>IF(nominal_balance!A90="","",nominal_balance!A90)</f>
        <v/>
      </c>
      <c r="B90" s="5" t="str">
        <f>IF(nominal_balance!A90="","",(nominal_balance!B89+1))</f>
        <v/>
      </c>
      <c r="C90" s="23" t="str">
        <f>IF(nominal_balance!A90="","",FV(input!$F$6,A90,-input!$F$16,,input!$C$7))</f>
        <v/>
      </c>
      <c r="D90" s="23" t="str">
        <f>IF(nominal_balance!A90="","",PV((input!$C$12),A90,,-C90,input!$C$7))</f>
        <v/>
      </c>
    </row>
    <row r="91" spans="1:4" x14ac:dyDescent="0.25">
      <c r="A91" s="5" t="str">
        <f>IF(nominal_balance!A91="","",nominal_balance!A91)</f>
        <v/>
      </c>
      <c r="B91" s="5" t="str">
        <f>IF(nominal_balance!A91="","",(nominal_balance!B90+1))</f>
        <v/>
      </c>
      <c r="C91" s="23" t="str">
        <f>IF(nominal_balance!A91="","",FV(input!$F$6,A91,-input!$F$16,,input!$C$7))</f>
        <v/>
      </c>
      <c r="D91" s="23" t="str">
        <f>IF(nominal_balance!A91="","",PV((input!$C$12),A91,,-C91,input!$C$7))</f>
        <v/>
      </c>
    </row>
    <row r="92" spans="1:4" x14ac:dyDescent="0.25">
      <c r="A92" s="5" t="str">
        <f>IF(nominal_balance!A92="","",nominal_balance!A92)</f>
        <v/>
      </c>
      <c r="B92" s="5" t="str">
        <f>IF(nominal_balance!A92="","",(nominal_balance!B91+1))</f>
        <v/>
      </c>
      <c r="C92" s="23" t="str">
        <f>IF(nominal_balance!A92="","",FV(input!$F$6,A92,-input!$F$16,,input!$C$7))</f>
        <v/>
      </c>
      <c r="D92" s="23" t="str">
        <f>IF(nominal_balance!A92="","",PV((input!$C$12),A92,,-C92,input!$C$7))</f>
        <v/>
      </c>
    </row>
    <row r="93" spans="1:4" x14ac:dyDescent="0.25">
      <c r="A93" s="5" t="str">
        <f>IF(nominal_balance!A93="","",nominal_balance!A93)</f>
        <v/>
      </c>
      <c r="B93" s="5" t="str">
        <f>IF(nominal_balance!A93="","",(nominal_balance!B92+1))</f>
        <v/>
      </c>
      <c r="C93" s="23" t="str">
        <f>IF(nominal_balance!A93="","",FV(input!$F$6,A93,-input!$F$16,,input!$C$7))</f>
        <v/>
      </c>
      <c r="D93" s="23" t="str">
        <f>IF(nominal_balance!A93="","",PV((input!$C$12),A93,,-C93,input!$C$7))</f>
        <v/>
      </c>
    </row>
    <row r="94" spans="1:4" x14ac:dyDescent="0.25">
      <c r="A94" s="5" t="str">
        <f>IF(nominal_balance!A94="","",nominal_balance!A94)</f>
        <v/>
      </c>
      <c r="B94" s="5" t="str">
        <f>IF(nominal_balance!A94="","",(nominal_balance!B93+1))</f>
        <v/>
      </c>
      <c r="C94" s="23" t="str">
        <f>IF(nominal_balance!A94="","",FV(input!$F$6,A94,-input!$F$16,,input!$C$7))</f>
        <v/>
      </c>
      <c r="D94" s="23" t="str">
        <f>IF(nominal_balance!A94="","",PV((input!$C$12),A94,,-C94,input!$C$7))</f>
        <v/>
      </c>
    </row>
    <row r="95" spans="1:4" x14ac:dyDescent="0.25">
      <c r="A95" s="5" t="str">
        <f>IF(nominal_balance!A95="","",nominal_balance!A95)</f>
        <v/>
      </c>
      <c r="B95" s="5" t="str">
        <f>IF(nominal_balance!A95="","",(nominal_balance!B94+1))</f>
        <v/>
      </c>
      <c r="C95" s="23" t="str">
        <f>IF(nominal_balance!A95="","",FV(input!$F$6,A95,-input!$F$16,,input!$C$7))</f>
        <v/>
      </c>
      <c r="D95" s="23" t="str">
        <f>IF(nominal_balance!A95="","",PV((input!$C$12),A95,,-C95,input!$C$7))</f>
        <v/>
      </c>
    </row>
    <row r="96" spans="1:4" x14ac:dyDescent="0.25">
      <c r="A96" s="5" t="str">
        <f>IF(nominal_balance!A96="","",nominal_balance!A96)</f>
        <v/>
      </c>
      <c r="B96" s="5" t="str">
        <f>IF(nominal_balance!A96="","",(nominal_balance!B95+1))</f>
        <v/>
      </c>
      <c r="C96" s="23" t="str">
        <f>IF(nominal_balance!A96="","",FV(input!$F$6,A96,-input!$F$16,,input!$C$7))</f>
        <v/>
      </c>
      <c r="D96" s="23" t="str">
        <f>IF(nominal_balance!A96="","",PV((input!$C$12),A96,,-C96,input!$C$7))</f>
        <v/>
      </c>
    </row>
    <row r="97" spans="1:4" x14ac:dyDescent="0.25">
      <c r="A97" s="5" t="str">
        <f>IF(nominal_balance!A97="","",nominal_balance!A97)</f>
        <v/>
      </c>
      <c r="B97" s="5" t="str">
        <f>IF(nominal_balance!A97="","",(nominal_balance!B96+1))</f>
        <v/>
      </c>
      <c r="C97" s="23" t="str">
        <f>IF(nominal_balance!A97="","",FV(input!$F$6,A97,-input!$F$16,,input!$C$7))</f>
        <v/>
      </c>
      <c r="D97" s="23" t="str">
        <f>IF(nominal_balance!A97="","",PV((input!$C$12),A97,,-C97,input!$C$7))</f>
        <v/>
      </c>
    </row>
    <row r="98" spans="1:4" x14ac:dyDescent="0.25">
      <c r="A98" s="5" t="str">
        <f>IF(nominal_balance!A98="","",nominal_balance!A98)</f>
        <v/>
      </c>
      <c r="B98" s="5" t="str">
        <f>IF(nominal_balance!A98="","",(nominal_balance!B97+1))</f>
        <v/>
      </c>
      <c r="C98" s="23" t="str">
        <f>IF(nominal_balance!A98="","",FV(input!$F$6,A98,-input!$F$16,,input!$C$7))</f>
        <v/>
      </c>
      <c r="D98" s="23" t="str">
        <f>IF(nominal_balance!A98="","",PV((input!$C$12),A98,,-C98,input!$C$7))</f>
        <v/>
      </c>
    </row>
    <row r="99" spans="1:4" x14ac:dyDescent="0.25">
      <c r="A99" s="5" t="str">
        <f>IF(nominal_balance!A99="","",nominal_balance!A99)</f>
        <v/>
      </c>
      <c r="B99" s="5" t="str">
        <f>IF(nominal_balance!A99="","",(nominal_balance!B98+1))</f>
        <v/>
      </c>
      <c r="C99" s="23" t="str">
        <f>IF(nominal_balance!A99="","",FV(input!$F$6,A99,-input!$F$16,,input!$C$7))</f>
        <v/>
      </c>
      <c r="D99" s="23" t="str">
        <f>IF(nominal_balance!A99="","",PV((input!$C$12),A99,,-C99,input!$C$7))</f>
        <v/>
      </c>
    </row>
    <row r="100" spans="1:4" x14ac:dyDescent="0.25">
      <c r="A100" s="5" t="str">
        <f>IF(nominal_balance!A100="","",nominal_balance!A100)</f>
        <v/>
      </c>
      <c r="B100" s="5" t="str">
        <f>IF(nominal_balance!A100="","",(nominal_balance!B99+1))</f>
        <v/>
      </c>
      <c r="C100" s="23" t="str">
        <f>IF(nominal_balance!A100="","",FV(input!$F$6,A100,-input!$F$16,,input!$C$7))</f>
        <v/>
      </c>
      <c r="D100" s="23" t="str">
        <f>IF(nominal_balance!A100="","",PV((input!$C$12),A100,,-C100,input!$C$7))</f>
        <v/>
      </c>
    </row>
    <row r="101" spans="1:4" x14ac:dyDescent="0.25">
      <c r="A101" s="5" t="str">
        <f>IF(nominal_balance!A101="","",nominal_balance!A101)</f>
        <v/>
      </c>
      <c r="B101" s="5" t="str">
        <f>IF(nominal_balance!A101="","",(nominal_balance!B100+1))</f>
        <v/>
      </c>
      <c r="C101" s="23" t="str">
        <f>IF(nominal_balance!A101="","",FV(input!$F$6,A101,-input!$F$16,,input!$C$7))</f>
        <v/>
      </c>
      <c r="D101" s="23" t="str">
        <f>IF(nominal_balance!A101="","",PV((input!$C$12),A101,,-C101,input!$C$7))</f>
        <v/>
      </c>
    </row>
    <row r="102" spans="1:4" x14ac:dyDescent="0.25">
      <c r="A102" s="5" t="str">
        <f>IF(nominal_balance!A102="","",nominal_balance!A102)</f>
        <v/>
      </c>
      <c r="B102" s="5" t="str">
        <f>IF(nominal_balance!A102="","",(nominal_balance!B101+1))</f>
        <v/>
      </c>
      <c r="C102" s="23" t="str">
        <f>IF(nominal_balance!A102="","",FV(input!$F$6,A102,-input!$F$16,,input!$C$7))</f>
        <v/>
      </c>
      <c r="D102" s="23" t="str">
        <f>IF(nominal_balance!A102="","",PV((input!$C$12),A102,,-C102,input!$C$7))</f>
        <v/>
      </c>
    </row>
    <row r="103" spans="1:4" x14ac:dyDescent="0.25">
      <c r="A103" s="8" t="s">
        <v>11</v>
      </c>
      <c r="B103" s="8" t="s">
        <v>12</v>
      </c>
      <c r="C103" s="8" t="s">
        <v>12</v>
      </c>
      <c r="D103" s="8" t="s">
        <v>12</v>
      </c>
    </row>
    <row r="104" spans="1:4" x14ac:dyDescent="0.25">
      <c r="A104" s="5" t="str">
        <f>IF(input!$F$3&gt;A103,A103+1,"")</f>
        <v/>
      </c>
      <c r="B104" s="5"/>
      <c r="C104" s="5"/>
      <c r="D104" s="5"/>
    </row>
    <row r="105" spans="1:4" x14ac:dyDescent="0.25">
      <c r="A105" s="5" t="str">
        <f>IF(input!$F$3&gt;A104,A104+1,"")</f>
        <v/>
      </c>
      <c r="B105" s="5"/>
      <c r="C105" s="5"/>
      <c r="D105" s="5"/>
    </row>
    <row r="106" spans="1:4" x14ac:dyDescent="0.25">
      <c r="A106" s="5" t="str">
        <f>IF(input!$F$3&gt;A105,A105+1,"")</f>
        <v/>
      </c>
      <c r="B106" s="5"/>
      <c r="C106" s="5"/>
      <c r="D106" s="5"/>
    </row>
    <row r="107" spans="1:4" x14ac:dyDescent="0.25">
      <c r="A107" s="5" t="str">
        <f>IF(input!$F$3&gt;A106,A106+1,"")</f>
        <v/>
      </c>
      <c r="B107" s="5"/>
      <c r="C107" s="5"/>
      <c r="D107" s="5"/>
    </row>
    <row r="108" spans="1:4" x14ac:dyDescent="0.25">
      <c r="A108" s="5" t="str">
        <f>IF(input!$F$3&gt;A107,A107+1,"")</f>
        <v/>
      </c>
      <c r="B108" s="5"/>
      <c r="C108" s="5"/>
      <c r="D108" s="5"/>
    </row>
    <row r="109" spans="1:4" x14ac:dyDescent="0.25">
      <c r="A109" s="5" t="str">
        <f>IF(input!$F$3&gt;A108,A108+1,"")</f>
        <v/>
      </c>
      <c r="B109" s="5"/>
      <c r="C109" s="5"/>
      <c r="D109" s="5"/>
    </row>
    <row r="110" spans="1:4" x14ac:dyDescent="0.25">
      <c r="A110" s="5" t="str">
        <f>IF(input!$F$3&gt;A109,A109+1,"")</f>
        <v/>
      </c>
      <c r="B110" s="5"/>
      <c r="C110" s="5"/>
      <c r="D110" s="5"/>
    </row>
    <row r="111" spans="1:4" x14ac:dyDescent="0.25">
      <c r="A111" s="5" t="str">
        <f>IF(input!$F$3&gt;A110,A110+1,"")</f>
        <v/>
      </c>
      <c r="B111" s="5"/>
      <c r="C111" s="5"/>
      <c r="D111" s="5"/>
    </row>
    <row r="112" spans="1:4" x14ac:dyDescent="0.25">
      <c r="A112" s="5" t="str">
        <f>IF(input!$F$3&gt;A111,A111+1,"")</f>
        <v/>
      </c>
      <c r="B112" s="5"/>
      <c r="C112" s="5"/>
      <c r="D112" s="5"/>
    </row>
    <row r="113" spans="1:4" x14ac:dyDescent="0.25">
      <c r="A113" s="5" t="str">
        <f>IF(input!$F$3&gt;A112,A112+1,"")</f>
        <v/>
      </c>
      <c r="B113" s="5"/>
      <c r="C113" s="5"/>
      <c r="D113" s="5"/>
    </row>
    <row r="114" spans="1:4" x14ac:dyDescent="0.25">
      <c r="A114" s="5" t="str">
        <f>IF(input!$F$3&gt;A113,A113+1,"")</f>
        <v/>
      </c>
      <c r="B114" s="5"/>
      <c r="C114" s="5"/>
      <c r="D114" s="5"/>
    </row>
    <row r="115" spans="1:4" x14ac:dyDescent="0.25">
      <c r="A115" s="5" t="str">
        <f>IF(input!$F$3&gt;A114,A114+1,"")</f>
        <v/>
      </c>
      <c r="B115" s="5"/>
      <c r="C115" s="5"/>
      <c r="D115" s="5"/>
    </row>
    <row r="116" spans="1:4" x14ac:dyDescent="0.25">
      <c r="A116" s="5" t="str">
        <f>IF(input!$F$3&gt;A115,A115+1,"")</f>
        <v/>
      </c>
      <c r="B116" s="5"/>
      <c r="C116" s="5"/>
      <c r="D116" s="5"/>
    </row>
    <row r="117" spans="1:4" x14ac:dyDescent="0.25">
      <c r="A117" s="5" t="str">
        <f>IF(input!$F$3&gt;A116,A116+1,"")</f>
        <v/>
      </c>
      <c r="B117" s="5"/>
      <c r="C117" s="5"/>
      <c r="D117" s="5"/>
    </row>
    <row r="118" spans="1:4" x14ac:dyDescent="0.25">
      <c r="A118" s="5" t="str">
        <f>IF(input!$F$3&gt;A117,A117+1,"")</f>
        <v/>
      </c>
      <c r="B118" s="5"/>
      <c r="C118" s="5"/>
      <c r="D118" s="5"/>
    </row>
    <row r="119" spans="1:4" x14ac:dyDescent="0.25">
      <c r="A119" s="5" t="str">
        <f>IF(input!$F$3&gt;A118,A118+1,"")</f>
        <v/>
      </c>
      <c r="B119" s="5"/>
      <c r="C119" s="5"/>
      <c r="D119" s="5"/>
    </row>
    <row r="120" spans="1:4" x14ac:dyDescent="0.25">
      <c r="A120" s="5" t="str">
        <f>IF(input!$F$3&gt;A119,A119+1,"")</f>
        <v/>
      </c>
      <c r="B120" s="5"/>
      <c r="C120" s="5"/>
      <c r="D120" s="5"/>
    </row>
    <row r="121" spans="1:4" x14ac:dyDescent="0.25">
      <c r="A121" s="5" t="str">
        <f>IF(input!$F$3&gt;A120,A120+1,"")</f>
        <v/>
      </c>
      <c r="B121" s="5"/>
      <c r="C121" s="5"/>
      <c r="D121" s="5"/>
    </row>
    <row r="122" spans="1:4" x14ac:dyDescent="0.25">
      <c r="A122" s="5" t="str">
        <f>IF(input!$F$3&gt;A121,A121+1,"")</f>
        <v/>
      </c>
      <c r="B122" s="5"/>
      <c r="C122" s="5"/>
      <c r="D122" s="5"/>
    </row>
    <row r="123" spans="1:4" x14ac:dyDescent="0.25">
      <c r="A123" s="5" t="str">
        <f>IF(input!$F$3&gt;A122,A122+1,"")</f>
        <v/>
      </c>
      <c r="B123" s="5"/>
      <c r="C123" s="5"/>
      <c r="D123" s="5"/>
    </row>
    <row r="124" spans="1:4" x14ac:dyDescent="0.25">
      <c r="A124" s="5" t="str">
        <f>IF(input!$F$3&gt;A123,A123+1,"")</f>
        <v/>
      </c>
      <c r="B124" s="5"/>
      <c r="C124" s="5"/>
      <c r="D124" s="5"/>
    </row>
    <row r="125" spans="1:4" x14ac:dyDescent="0.25">
      <c r="A125" s="5" t="str">
        <f>IF(input!$F$3&gt;A124,A124+1,"")</f>
        <v/>
      </c>
      <c r="B125" s="5"/>
      <c r="C125" s="5"/>
      <c r="D125" s="5"/>
    </row>
    <row r="126" spans="1:4" x14ac:dyDescent="0.25">
      <c r="A126" s="5" t="str">
        <f>IF(input!$F$3&gt;A125,A125+1,"")</f>
        <v/>
      </c>
      <c r="B126" s="5"/>
      <c r="C126" s="5"/>
      <c r="D126" s="5"/>
    </row>
    <row r="127" spans="1:4" x14ac:dyDescent="0.25">
      <c r="A127" s="5" t="str">
        <f>IF(input!$F$3&gt;A126,A126+1,"")</f>
        <v/>
      </c>
      <c r="B127" s="5"/>
      <c r="C127" s="5"/>
      <c r="D127" s="5"/>
    </row>
    <row r="128" spans="1:4" x14ac:dyDescent="0.25">
      <c r="A128" s="5" t="str">
        <f>IF(input!$F$3&gt;A127,A127+1,"")</f>
        <v/>
      </c>
      <c r="B128" s="5"/>
      <c r="C128" s="5"/>
      <c r="D128" s="5"/>
    </row>
    <row r="129" spans="1:4" x14ac:dyDescent="0.25">
      <c r="A129" s="5" t="str">
        <f>IF(input!$F$3&gt;A128,A128+1,"")</f>
        <v/>
      </c>
      <c r="B129" s="5"/>
      <c r="C129" s="5"/>
      <c r="D129" s="5"/>
    </row>
    <row r="130" spans="1:4" x14ac:dyDescent="0.25">
      <c r="A130" s="5" t="str">
        <f>IF(input!$F$3&gt;A129,A129+1,"")</f>
        <v/>
      </c>
      <c r="B130" s="5"/>
      <c r="C130" s="5"/>
      <c r="D130" s="5"/>
    </row>
    <row r="131" spans="1:4" x14ac:dyDescent="0.25">
      <c r="A131" s="5" t="str">
        <f>IF(input!$F$3&gt;A130,A130+1,"")</f>
        <v/>
      </c>
      <c r="B131" s="5"/>
      <c r="C131" s="5"/>
      <c r="D131" s="5"/>
    </row>
    <row r="132" spans="1:4" x14ac:dyDescent="0.25">
      <c r="A132" s="5" t="str">
        <f>IF(input!$F$3&gt;A131,A131+1,"")</f>
        <v/>
      </c>
      <c r="B132" s="5"/>
      <c r="C132" s="5"/>
      <c r="D132" s="5"/>
    </row>
    <row r="133" spans="1:4" x14ac:dyDescent="0.25">
      <c r="A133" s="5" t="str">
        <f>IF(input!$F$3&gt;A132,A132+1,"")</f>
        <v/>
      </c>
      <c r="B133" s="5"/>
      <c r="C133" s="5"/>
      <c r="D133" s="5"/>
    </row>
    <row r="134" spans="1:4" x14ac:dyDescent="0.25">
      <c r="A134" s="5" t="str">
        <f>IF(input!$F$3&gt;A133,A133+1,"")</f>
        <v/>
      </c>
      <c r="B134" s="5"/>
      <c r="C134" s="5"/>
      <c r="D134" s="5"/>
    </row>
    <row r="135" spans="1:4" x14ac:dyDescent="0.25">
      <c r="A135" s="5" t="str">
        <f>IF(input!$F$3&gt;A134,A134+1,"")</f>
        <v/>
      </c>
      <c r="B135" s="5"/>
      <c r="C135" s="5"/>
      <c r="D135" s="5"/>
    </row>
    <row r="136" spans="1:4" x14ac:dyDescent="0.25">
      <c r="A136" s="5" t="str">
        <f>IF(input!$F$3&gt;A135,A135+1,"")</f>
        <v/>
      </c>
      <c r="B136" s="5"/>
      <c r="C136" s="5"/>
      <c r="D136" s="5"/>
    </row>
    <row r="137" spans="1:4" x14ac:dyDescent="0.25">
      <c r="A137" s="5" t="str">
        <f>IF(input!$F$3&gt;A136,A136+1,"")</f>
        <v/>
      </c>
      <c r="B137" s="5"/>
      <c r="C137" s="5"/>
      <c r="D137" s="5"/>
    </row>
    <row r="138" spans="1:4" x14ac:dyDescent="0.25">
      <c r="A138" s="5" t="str">
        <f>IF(input!$F$3&gt;A137,A137+1,"")</f>
        <v/>
      </c>
      <c r="B138" s="5"/>
      <c r="C138" s="5"/>
      <c r="D138" s="5"/>
    </row>
    <row r="139" spans="1:4" x14ac:dyDescent="0.25">
      <c r="A139" s="5" t="str">
        <f>IF(input!$F$3&gt;A138,A138+1,"")</f>
        <v/>
      </c>
      <c r="B139" s="5"/>
      <c r="C139" s="5"/>
      <c r="D139" s="5"/>
    </row>
    <row r="140" spans="1:4" x14ac:dyDescent="0.25">
      <c r="A140" s="5" t="str">
        <f>IF(input!$F$3&gt;A139,A139+1,"")</f>
        <v/>
      </c>
      <c r="B140" s="5"/>
      <c r="C140" s="5"/>
      <c r="D140" s="5"/>
    </row>
    <row r="141" spans="1:4" x14ac:dyDescent="0.25">
      <c r="A141" s="5" t="str">
        <f>IF(input!$F$3&gt;A140,A140+1,"")</f>
        <v/>
      </c>
      <c r="B141" s="5"/>
      <c r="C141" s="5"/>
      <c r="D141" s="5"/>
    </row>
    <row r="142" spans="1:4" x14ac:dyDescent="0.25">
      <c r="A142" s="5" t="str">
        <f>IF(input!$F$3&gt;A141,A141+1,"")</f>
        <v/>
      </c>
      <c r="B142" s="5"/>
      <c r="C142" s="5"/>
      <c r="D142" s="5"/>
    </row>
    <row r="143" spans="1:4" x14ac:dyDescent="0.25">
      <c r="A143" s="5" t="str">
        <f>IF(input!$F$3&gt;A142,A142+1,"")</f>
        <v/>
      </c>
      <c r="B143" s="5"/>
      <c r="C143" s="5"/>
      <c r="D143" s="5"/>
    </row>
    <row r="144" spans="1:4" x14ac:dyDescent="0.25">
      <c r="A144" s="5" t="str">
        <f>IF(input!$F$3&gt;A143,A143+1,"")</f>
        <v/>
      </c>
      <c r="B144" s="5"/>
      <c r="C144" s="5"/>
      <c r="D144" s="5"/>
    </row>
    <row r="145" spans="1:4" x14ac:dyDescent="0.25">
      <c r="A145" s="5" t="str">
        <f>IF(input!$F$3&gt;A144,A144+1,"")</f>
        <v/>
      </c>
      <c r="B145" s="5"/>
      <c r="C145" s="5"/>
      <c r="D145" s="5"/>
    </row>
    <row r="146" spans="1:4" x14ac:dyDescent="0.25">
      <c r="A146" s="5" t="str">
        <f>IF(input!$F$3&gt;A145,A145+1,"")</f>
        <v/>
      </c>
      <c r="B146" s="5"/>
      <c r="C146" s="5"/>
      <c r="D146" s="5"/>
    </row>
    <row r="147" spans="1:4" x14ac:dyDescent="0.25">
      <c r="A147" s="5" t="str">
        <f>IF(input!$F$3&gt;A146,A146+1,"")</f>
        <v/>
      </c>
      <c r="B147" s="5"/>
      <c r="C147" s="5"/>
      <c r="D147" s="5"/>
    </row>
    <row r="148" spans="1:4" x14ac:dyDescent="0.25">
      <c r="A148" s="5" t="str">
        <f>IF(input!$F$3&gt;A147,A147+1,"")</f>
        <v/>
      </c>
      <c r="B148" s="5"/>
      <c r="C148" s="5"/>
      <c r="D148" s="5"/>
    </row>
    <row r="149" spans="1:4" x14ac:dyDescent="0.25">
      <c r="A149" s="5" t="str">
        <f>IF(input!$F$3&gt;A148,A148+1,"")</f>
        <v/>
      </c>
      <c r="B149" s="5"/>
      <c r="C149" s="5"/>
      <c r="D149" s="5"/>
    </row>
    <row r="150" spans="1:4" x14ac:dyDescent="0.25">
      <c r="A150" s="5" t="str">
        <f>IF(input!$F$3&gt;A149,A149+1,"")</f>
        <v/>
      </c>
      <c r="B150" s="5"/>
      <c r="C150" s="5"/>
      <c r="D150" s="5"/>
    </row>
    <row r="151" spans="1:4" x14ac:dyDescent="0.25">
      <c r="A151" s="5" t="str">
        <f>IF(input!$F$3&gt;A150,A150+1,"")</f>
        <v/>
      </c>
      <c r="B151" s="5"/>
      <c r="C151" s="5"/>
      <c r="D151" s="5"/>
    </row>
    <row r="152" spans="1:4" x14ac:dyDescent="0.25">
      <c r="A152" s="5" t="str">
        <f>IF(input!$F$3&gt;A151,A151+1,"")</f>
        <v/>
      </c>
      <c r="B152" s="5"/>
      <c r="C152" s="5"/>
      <c r="D152" s="5"/>
    </row>
    <row r="153" spans="1:4" x14ac:dyDescent="0.25">
      <c r="A153" s="5" t="str">
        <f>IF(input!$F$3&gt;A152,A152+1,"")</f>
        <v/>
      </c>
      <c r="B153" s="5"/>
      <c r="C153" s="5"/>
      <c r="D153" s="5"/>
    </row>
    <row r="154" spans="1:4" x14ac:dyDescent="0.25">
      <c r="A154" s="5" t="str">
        <f>IF(input!$F$3&gt;A153,A153+1,"")</f>
        <v/>
      </c>
      <c r="B154" s="5"/>
      <c r="C154" s="5"/>
      <c r="D154" s="5"/>
    </row>
    <row r="155" spans="1:4" x14ac:dyDescent="0.25">
      <c r="A155" s="5" t="str">
        <f>IF(input!$F$3&gt;A154,A154+1,"")</f>
        <v/>
      </c>
      <c r="B155" s="5"/>
      <c r="C155" s="5"/>
      <c r="D155" s="5"/>
    </row>
    <row r="156" spans="1:4" x14ac:dyDescent="0.25">
      <c r="A156" s="5" t="str">
        <f>IF(input!$F$3&gt;A155,A155+1,"")</f>
        <v/>
      </c>
      <c r="B156" s="5"/>
      <c r="C156" s="5"/>
      <c r="D156" s="5"/>
    </row>
    <row r="157" spans="1:4" x14ac:dyDescent="0.25">
      <c r="A157" s="5" t="str">
        <f>IF(input!$F$3&gt;A156,A156+1,"")</f>
        <v/>
      </c>
      <c r="B157" s="5"/>
      <c r="C157" s="5"/>
      <c r="D157" s="5"/>
    </row>
    <row r="158" spans="1:4" x14ac:dyDescent="0.25">
      <c r="A158" s="5" t="str">
        <f>IF(input!$F$3&gt;A157,A157+1,"")</f>
        <v/>
      </c>
      <c r="B158" s="5"/>
      <c r="C158" s="5"/>
      <c r="D158" s="5"/>
    </row>
    <row r="159" spans="1:4" x14ac:dyDescent="0.25">
      <c r="A159" s="5" t="str">
        <f>IF(input!$F$3&gt;A158,A158+1,"")</f>
        <v/>
      </c>
      <c r="B159" s="5"/>
      <c r="C159" s="5"/>
      <c r="D159" s="5"/>
    </row>
    <row r="160" spans="1:4" x14ac:dyDescent="0.25">
      <c r="A160" s="5" t="str">
        <f>IF(input!$F$3&gt;A159,A159+1,"")</f>
        <v/>
      </c>
      <c r="B160" s="5"/>
      <c r="C160" s="5"/>
      <c r="D160" s="5"/>
    </row>
    <row r="161" spans="1:4" x14ac:dyDescent="0.25">
      <c r="A161" s="5" t="str">
        <f>IF(input!$F$3&gt;A160,A160+1,"")</f>
        <v/>
      </c>
      <c r="B161" s="5"/>
      <c r="C161" s="5"/>
      <c r="D161" s="5"/>
    </row>
    <row r="162" spans="1:4" x14ac:dyDescent="0.25">
      <c r="A162" s="5" t="str">
        <f>IF(input!$F$3&gt;A161,A161+1,"")</f>
        <v/>
      </c>
      <c r="B162" s="5"/>
      <c r="C162" s="5"/>
      <c r="D162" s="5"/>
    </row>
    <row r="163" spans="1:4" x14ac:dyDescent="0.25">
      <c r="A163" s="5" t="str">
        <f>IF(input!$F$3&gt;A162,A162+1,"")</f>
        <v/>
      </c>
      <c r="B163" s="5"/>
      <c r="C163" s="5"/>
      <c r="D163" s="5"/>
    </row>
    <row r="164" spans="1:4" x14ac:dyDescent="0.25">
      <c r="A164" s="5" t="str">
        <f>IF(input!$F$3&gt;A163,A163+1,"")</f>
        <v/>
      </c>
      <c r="B164" s="5"/>
      <c r="C164" s="5"/>
      <c r="D164" s="5"/>
    </row>
    <row r="165" spans="1:4" x14ac:dyDescent="0.25">
      <c r="A165" s="5" t="str">
        <f>IF(input!$F$3&gt;A164,A164+1,"")</f>
        <v/>
      </c>
      <c r="B165" s="5"/>
      <c r="C165" s="5"/>
      <c r="D165" s="5"/>
    </row>
    <row r="166" spans="1:4" x14ac:dyDescent="0.25">
      <c r="A166" s="5" t="str">
        <f>IF(input!$F$3&gt;A165,A165+1,"")</f>
        <v/>
      </c>
      <c r="B166" s="5"/>
      <c r="C166" s="5"/>
      <c r="D166" s="5"/>
    </row>
    <row r="167" spans="1:4" x14ac:dyDescent="0.25">
      <c r="A167" s="5" t="str">
        <f>IF(input!$F$3&gt;A166,A166+1,"")</f>
        <v/>
      </c>
      <c r="B167" s="5"/>
      <c r="C167" s="5"/>
      <c r="D167" s="5"/>
    </row>
    <row r="168" spans="1:4" x14ac:dyDescent="0.25">
      <c r="A168" s="5" t="str">
        <f>IF(input!$F$3&gt;A167,A167+1,"")</f>
        <v/>
      </c>
      <c r="B168" s="5"/>
      <c r="C168" s="5"/>
      <c r="D168" s="5"/>
    </row>
    <row r="169" spans="1:4" x14ac:dyDescent="0.25">
      <c r="A169" s="5" t="str">
        <f>IF(input!$F$3&gt;A168,A168+1,"")</f>
        <v/>
      </c>
      <c r="B169" s="5"/>
      <c r="C169" s="5"/>
      <c r="D169" s="5"/>
    </row>
    <row r="170" spans="1:4" x14ac:dyDescent="0.25">
      <c r="A170" s="5" t="str">
        <f>IF(input!$F$3&gt;A169,A169+1,"")</f>
        <v/>
      </c>
      <c r="B170" s="5"/>
      <c r="C170" s="5"/>
      <c r="D170" s="5"/>
    </row>
    <row r="171" spans="1:4" x14ac:dyDescent="0.25">
      <c r="A171" s="5" t="str">
        <f>IF(input!$F$3&gt;A170,A170+1,"")</f>
        <v/>
      </c>
      <c r="B171" s="5"/>
      <c r="C171" s="5"/>
      <c r="D171" s="5"/>
    </row>
    <row r="172" spans="1:4" x14ac:dyDescent="0.25">
      <c r="A172" s="5" t="str">
        <f>IF(input!$F$3&gt;A171,A171+1,"")</f>
        <v/>
      </c>
      <c r="B172" s="5"/>
      <c r="C172" s="5"/>
      <c r="D172" s="5"/>
    </row>
    <row r="173" spans="1:4" x14ac:dyDescent="0.25">
      <c r="A173" s="5" t="str">
        <f>IF(input!$F$3&gt;A172,A172+1,"")</f>
        <v/>
      </c>
      <c r="B173" s="5"/>
      <c r="C173" s="5"/>
      <c r="D173" s="5"/>
    </row>
    <row r="174" spans="1:4" x14ac:dyDescent="0.25">
      <c r="A174" s="5" t="str">
        <f>IF(input!$F$3&gt;A173,A173+1,"")</f>
        <v/>
      </c>
      <c r="B174" s="5"/>
      <c r="C174" s="5"/>
      <c r="D174" s="5"/>
    </row>
    <row r="175" spans="1:4" x14ac:dyDescent="0.25">
      <c r="A175" s="5" t="str">
        <f>IF(input!$F$3&gt;A174,A174+1,"")</f>
        <v/>
      </c>
      <c r="B175" s="5"/>
      <c r="C175" s="5"/>
      <c r="D175" s="5"/>
    </row>
    <row r="176" spans="1:4" x14ac:dyDescent="0.25">
      <c r="A176" s="5" t="str">
        <f>IF(input!$F$3&gt;A175,A175+1,"")</f>
        <v/>
      </c>
      <c r="B176" s="5"/>
      <c r="C176" s="5"/>
      <c r="D176" s="5"/>
    </row>
    <row r="177" spans="1:4" x14ac:dyDescent="0.25">
      <c r="A177" s="5" t="str">
        <f>IF(input!$F$3&gt;A176,A176+1,"")</f>
        <v/>
      </c>
      <c r="B177" s="5"/>
      <c r="C177" s="5"/>
      <c r="D177" s="5"/>
    </row>
    <row r="178" spans="1:4" x14ac:dyDescent="0.25">
      <c r="A178" s="5" t="str">
        <f>IF(input!$F$3&gt;A177,A177+1,"")</f>
        <v/>
      </c>
      <c r="B178" s="5"/>
      <c r="C178" s="5"/>
      <c r="D178" s="5"/>
    </row>
    <row r="179" spans="1:4" x14ac:dyDescent="0.25">
      <c r="A179" s="5" t="str">
        <f>IF(input!$F$3&gt;A178,A178+1,"")</f>
        <v/>
      </c>
      <c r="B179" s="5"/>
      <c r="C179" s="5"/>
      <c r="D179" s="5"/>
    </row>
    <row r="180" spans="1:4" x14ac:dyDescent="0.25">
      <c r="A180" s="5" t="str">
        <f>IF(input!$F$3&gt;A179,A179+1,"")</f>
        <v/>
      </c>
      <c r="B180" s="5"/>
      <c r="C180" s="5"/>
      <c r="D180" s="5"/>
    </row>
    <row r="181" spans="1:4" x14ac:dyDescent="0.25">
      <c r="A181" s="5" t="str">
        <f>IF(input!$F$3&gt;A180,A180+1,"")</f>
        <v/>
      </c>
      <c r="B181" s="5"/>
      <c r="C181" s="5"/>
      <c r="D181" s="5"/>
    </row>
    <row r="182" spans="1:4" x14ac:dyDescent="0.25">
      <c r="A182" s="5" t="str">
        <f>IF(input!$F$3&gt;A181,A181+1,"")</f>
        <v/>
      </c>
      <c r="B182" s="5"/>
      <c r="C182" s="5"/>
      <c r="D182" s="5"/>
    </row>
    <row r="183" spans="1:4" x14ac:dyDescent="0.25">
      <c r="A183" s="5" t="str">
        <f>IF(input!$F$3&gt;A182,A182+1,"")</f>
        <v/>
      </c>
      <c r="B183" s="5"/>
      <c r="C183" s="5"/>
      <c r="D183" s="5"/>
    </row>
    <row r="184" spans="1:4" x14ac:dyDescent="0.25">
      <c r="A184" s="5" t="str">
        <f>IF(input!$F$3&gt;A183,A183+1,"")</f>
        <v/>
      </c>
      <c r="B184" s="5"/>
      <c r="C184" s="5"/>
      <c r="D184" s="5"/>
    </row>
    <row r="185" spans="1:4" x14ac:dyDescent="0.25">
      <c r="A185" s="5" t="str">
        <f>IF(input!$F$3&gt;A184,A184+1,"")</f>
        <v/>
      </c>
      <c r="B185" s="5"/>
      <c r="C185" s="5"/>
      <c r="D185" s="5"/>
    </row>
    <row r="186" spans="1:4" x14ac:dyDescent="0.25">
      <c r="A186" s="5" t="str">
        <f>IF(input!$F$3&gt;A185,A185+1,"")</f>
        <v/>
      </c>
      <c r="B186" s="5"/>
      <c r="C186" s="5"/>
      <c r="D186" s="5"/>
    </row>
    <row r="187" spans="1:4" x14ac:dyDescent="0.25">
      <c r="A187" s="5" t="str">
        <f>IF(input!$F$3&gt;A186,A186+1,"")</f>
        <v/>
      </c>
      <c r="B187" s="5"/>
      <c r="C187" s="5"/>
      <c r="D187" s="5"/>
    </row>
    <row r="188" spans="1:4" x14ac:dyDescent="0.25">
      <c r="A188" s="5" t="str">
        <f>IF(input!$F$3&gt;A187,A187+1,"")</f>
        <v/>
      </c>
      <c r="B188" s="5"/>
      <c r="C188" s="5"/>
      <c r="D188" s="5"/>
    </row>
    <row r="189" spans="1:4" x14ac:dyDescent="0.25">
      <c r="A189" s="5" t="str">
        <f>IF(input!$F$3&gt;A188,A188+1,"")</f>
        <v/>
      </c>
      <c r="B189" s="5"/>
      <c r="C189" s="5"/>
      <c r="D189" s="5"/>
    </row>
    <row r="190" spans="1:4" x14ac:dyDescent="0.25">
      <c r="A190" s="5" t="str">
        <f>IF(input!$F$3&gt;A189,A189+1,"")</f>
        <v/>
      </c>
      <c r="B190" s="5"/>
      <c r="C190" s="5"/>
      <c r="D190" s="5"/>
    </row>
    <row r="191" spans="1:4" x14ac:dyDescent="0.25">
      <c r="A191" s="5" t="str">
        <f>IF(input!$F$3&gt;A190,A190+1,"")</f>
        <v/>
      </c>
      <c r="B191" s="5"/>
      <c r="C191" s="5"/>
      <c r="D191" s="5"/>
    </row>
    <row r="192" spans="1:4" x14ac:dyDescent="0.25">
      <c r="A192" s="5" t="str">
        <f>IF(input!$F$3&gt;A191,A191+1,"")</f>
        <v/>
      </c>
      <c r="B192" s="5"/>
      <c r="C192" s="5"/>
      <c r="D192" s="5"/>
    </row>
    <row r="193" spans="1:4" x14ac:dyDescent="0.25">
      <c r="A193" s="5" t="str">
        <f>IF(input!$F$3&gt;A192,A192+1,"")</f>
        <v/>
      </c>
      <c r="B193" s="5"/>
      <c r="C193" s="5"/>
      <c r="D193" s="5"/>
    </row>
    <row r="194" spans="1:4" x14ac:dyDescent="0.25">
      <c r="A194" s="5" t="str">
        <f>IF(input!$F$3&gt;A193,A193+1,"")</f>
        <v/>
      </c>
      <c r="B194" s="5"/>
      <c r="C194" s="5"/>
      <c r="D194" s="5"/>
    </row>
    <row r="195" spans="1:4" x14ac:dyDescent="0.25">
      <c r="A195" s="5" t="str">
        <f>IF(input!$F$3&gt;A194,A194+1,"")</f>
        <v/>
      </c>
      <c r="B195" s="5"/>
      <c r="C195" s="5"/>
      <c r="D195" s="5"/>
    </row>
    <row r="196" spans="1:4" x14ac:dyDescent="0.25">
      <c r="A196" s="5" t="str">
        <f>IF(input!$F$3&gt;A195,A195+1,"")</f>
        <v/>
      </c>
      <c r="B196" s="5"/>
      <c r="C196" s="5"/>
      <c r="D196" s="5"/>
    </row>
    <row r="197" spans="1:4" x14ac:dyDescent="0.25">
      <c r="A197" s="5" t="str">
        <f>IF(input!$F$3&gt;A196,A196+1,"")</f>
        <v/>
      </c>
      <c r="B197" s="5"/>
      <c r="C197" s="5"/>
      <c r="D197" s="5"/>
    </row>
    <row r="198" spans="1:4" x14ac:dyDescent="0.25">
      <c r="A198" s="5" t="str">
        <f>IF(input!$F$3&gt;A197,A197+1,"")</f>
        <v/>
      </c>
      <c r="B198" s="5"/>
      <c r="C198" s="5"/>
      <c r="D198" s="5"/>
    </row>
    <row r="199" spans="1:4" x14ac:dyDescent="0.25">
      <c r="A199" s="5" t="str">
        <f>IF(input!$F$3&gt;A198,A198+1,"")</f>
        <v/>
      </c>
      <c r="B199" s="5"/>
      <c r="C199" s="5"/>
      <c r="D199" s="5"/>
    </row>
    <row r="200" spans="1:4" x14ac:dyDescent="0.25">
      <c r="A200" s="5" t="str">
        <f>IF(input!$F$3&gt;A199,A199+1,"")</f>
        <v/>
      </c>
      <c r="B200" s="5"/>
      <c r="C200" s="5"/>
      <c r="D200" s="5"/>
    </row>
    <row r="201" spans="1:4" x14ac:dyDescent="0.25">
      <c r="A201" s="5" t="str">
        <f>IF(input!$F$3&gt;A200,A200+1,"")</f>
        <v/>
      </c>
      <c r="B201" s="5"/>
      <c r="C201" s="5"/>
      <c r="D201" s="5"/>
    </row>
    <row r="202" spans="1:4" x14ac:dyDescent="0.25">
      <c r="A202" s="5" t="str">
        <f>IF(input!$F$3&gt;A201,A201+1,"")</f>
        <v/>
      </c>
      <c r="B202" s="5"/>
      <c r="C202" s="5"/>
      <c r="D202" s="5"/>
    </row>
    <row r="203" spans="1:4" x14ac:dyDescent="0.25">
      <c r="A203" s="5" t="str">
        <f>IF(input!$F$3&gt;A202,A202+1,"")</f>
        <v/>
      </c>
      <c r="B203" s="5"/>
      <c r="C203" s="5"/>
      <c r="D203" s="5"/>
    </row>
    <row r="204" spans="1:4" x14ac:dyDescent="0.25">
      <c r="A204" s="5" t="str">
        <f>IF(input!$F$3&gt;A203,A203+1,"")</f>
        <v/>
      </c>
      <c r="B204" s="5"/>
      <c r="C204" s="5"/>
      <c r="D204" s="5"/>
    </row>
    <row r="205" spans="1:4" x14ac:dyDescent="0.25">
      <c r="A205" s="5" t="str">
        <f>IF(input!$F$3&gt;A204,A204+1,"")</f>
        <v/>
      </c>
      <c r="B205" s="5"/>
      <c r="C205" s="5"/>
      <c r="D205" s="5"/>
    </row>
    <row r="206" spans="1:4" x14ac:dyDescent="0.25">
      <c r="A206" s="5" t="str">
        <f>IF(input!$F$3&gt;A205,A205+1,"")</f>
        <v/>
      </c>
      <c r="B206" s="5"/>
      <c r="C206" s="5"/>
      <c r="D206" s="5"/>
    </row>
    <row r="207" spans="1:4" x14ac:dyDescent="0.25">
      <c r="A207" s="5" t="str">
        <f>IF(input!$F$3&gt;A206,A206+1,"")</f>
        <v/>
      </c>
      <c r="B207" s="5"/>
      <c r="C207" s="5"/>
      <c r="D207" s="5"/>
    </row>
    <row r="208" spans="1:4" x14ac:dyDescent="0.25">
      <c r="A208" s="5" t="str">
        <f>IF(input!$F$3&gt;A207,A207+1,"")</f>
        <v/>
      </c>
      <c r="B208" s="5"/>
      <c r="C208" s="5"/>
      <c r="D208" s="5"/>
    </row>
    <row r="209" spans="1:4" x14ac:dyDescent="0.25">
      <c r="A209" s="5" t="str">
        <f>IF(input!$F$3&gt;A208,A208+1,"")</f>
        <v/>
      </c>
      <c r="B209" s="5"/>
      <c r="C209" s="5"/>
      <c r="D209" s="5"/>
    </row>
    <row r="210" spans="1:4" x14ac:dyDescent="0.25">
      <c r="A210" s="5" t="str">
        <f>IF(input!$F$3&gt;A209,A209+1,"")</f>
        <v/>
      </c>
      <c r="B210" s="5"/>
      <c r="C210" s="5"/>
      <c r="D210" s="5"/>
    </row>
    <row r="211" spans="1:4" x14ac:dyDescent="0.25">
      <c r="A211" s="5" t="str">
        <f>IF(input!$F$3&gt;A210,A210+1,"")</f>
        <v/>
      </c>
      <c r="B211" s="5"/>
      <c r="C211" s="5"/>
      <c r="D211" s="5"/>
    </row>
    <row r="212" spans="1:4" x14ac:dyDescent="0.25">
      <c r="A212" s="5" t="str">
        <f>IF(input!$F$3&gt;A211,A211+1,"")</f>
        <v/>
      </c>
      <c r="B212" s="5"/>
      <c r="C212" s="5"/>
      <c r="D212" s="5"/>
    </row>
    <row r="213" spans="1:4" x14ac:dyDescent="0.25">
      <c r="A213" s="5" t="str">
        <f>IF(input!$F$3&gt;A212,A212+1,"")</f>
        <v/>
      </c>
      <c r="B213" s="5"/>
      <c r="C213" s="5"/>
      <c r="D213" s="5"/>
    </row>
    <row r="214" spans="1:4" x14ac:dyDescent="0.25">
      <c r="A214" s="5" t="str">
        <f>IF(input!$F$3&gt;A213,A213+1,"")</f>
        <v/>
      </c>
      <c r="B214" s="5"/>
      <c r="C214" s="5"/>
      <c r="D214" s="5"/>
    </row>
    <row r="215" spans="1:4" x14ac:dyDescent="0.25">
      <c r="A215" s="5" t="str">
        <f>IF(input!$F$3&gt;A214,A214+1,"")</f>
        <v/>
      </c>
      <c r="B215" s="5"/>
      <c r="C215" s="5"/>
      <c r="D215" s="5"/>
    </row>
    <row r="216" spans="1:4" x14ac:dyDescent="0.25">
      <c r="A216" s="5" t="str">
        <f>IF(input!$F$3&gt;A215,A215+1,"")</f>
        <v/>
      </c>
      <c r="B216" s="5"/>
      <c r="C216" s="5"/>
      <c r="D216" s="5"/>
    </row>
    <row r="217" spans="1:4" x14ac:dyDescent="0.25">
      <c r="A217" s="5" t="str">
        <f>IF(input!$F$3&gt;A216,A216+1,"")</f>
        <v/>
      </c>
      <c r="B217" s="5"/>
      <c r="C217" s="5"/>
      <c r="D217" s="5"/>
    </row>
    <row r="218" spans="1:4" x14ac:dyDescent="0.25">
      <c r="A218" s="5" t="str">
        <f>IF(input!$F$3&gt;A217,A217+1,"")</f>
        <v/>
      </c>
      <c r="B218" s="5"/>
      <c r="C218" s="5"/>
      <c r="D218" s="5"/>
    </row>
    <row r="219" spans="1:4" x14ac:dyDescent="0.25">
      <c r="A219" s="5" t="str">
        <f>IF(input!$F$3&gt;A218,A218+1,"")</f>
        <v/>
      </c>
      <c r="B219" s="5"/>
      <c r="C219" s="5"/>
      <c r="D219" s="5"/>
    </row>
    <row r="220" spans="1:4" x14ac:dyDescent="0.25">
      <c r="A220" s="5" t="str">
        <f>IF(input!$F$3&gt;A219,A219+1,"")</f>
        <v/>
      </c>
      <c r="B220" s="5"/>
      <c r="C220" s="5"/>
      <c r="D220" s="5"/>
    </row>
    <row r="221" spans="1:4" x14ac:dyDescent="0.25">
      <c r="A221" s="5" t="str">
        <f>IF(input!$F$3&gt;A220,A220+1,"")</f>
        <v/>
      </c>
      <c r="B221" s="5"/>
      <c r="C221" s="5"/>
      <c r="D221" s="5"/>
    </row>
    <row r="222" spans="1:4" x14ac:dyDescent="0.25">
      <c r="A222" s="5" t="str">
        <f>IF(input!$F$3&gt;A221,A221+1,"")</f>
        <v/>
      </c>
      <c r="B222" s="5"/>
      <c r="C222" s="5"/>
      <c r="D222" s="5"/>
    </row>
    <row r="223" spans="1:4" x14ac:dyDescent="0.25">
      <c r="A223" s="5" t="str">
        <f>IF(input!$F$3&gt;A222,A222+1,"")</f>
        <v/>
      </c>
      <c r="B223" s="5"/>
      <c r="C223" s="5"/>
      <c r="D223" s="5"/>
    </row>
    <row r="224" spans="1:4" x14ac:dyDescent="0.25">
      <c r="A224" s="5" t="str">
        <f>IF(input!$F$3&gt;A223,A223+1,"")</f>
        <v/>
      </c>
      <c r="B224" s="5"/>
      <c r="C224" s="5"/>
      <c r="D224" s="5"/>
    </row>
    <row r="225" spans="1:4" x14ac:dyDescent="0.25">
      <c r="A225" s="5" t="str">
        <f>IF(input!$F$3&gt;A224,A224+1,"")</f>
        <v/>
      </c>
      <c r="B225" s="5"/>
      <c r="C225" s="5"/>
      <c r="D225" s="5"/>
    </row>
    <row r="226" spans="1:4" x14ac:dyDescent="0.25">
      <c r="A226" s="5" t="str">
        <f>IF(input!$F$3&gt;A225,A225+1,"")</f>
        <v/>
      </c>
      <c r="B226" s="5"/>
      <c r="C226" s="5"/>
      <c r="D226" s="5"/>
    </row>
    <row r="227" spans="1:4" x14ac:dyDescent="0.25">
      <c r="A227" s="5" t="str">
        <f>IF(input!$F$3&gt;A226,A226+1,"")</f>
        <v/>
      </c>
      <c r="B227" s="5"/>
      <c r="C227" s="5"/>
      <c r="D227" s="5"/>
    </row>
    <row r="228" spans="1:4" x14ac:dyDescent="0.25">
      <c r="A228" s="5" t="str">
        <f>IF(input!$F$3&gt;A227,A227+1,"")</f>
        <v/>
      </c>
      <c r="B228" s="5"/>
      <c r="C228" s="5"/>
      <c r="D228" s="5"/>
    </row>
    <row r="229" spans="1:4" x14ac:dyDescent="0.25">
      <c r="A229" s="5" t="str">
        <f>IF(input!$F$3&gt;A228,A228+1,"")</f>
        <v/>
      </c>
      <c r="B229" s="5"/>
      <c r="C229" s="5"/>
      <c r="D229" s="5"/>
    </row>
    <row r="230" spans="1:4" x14ac:dyDescent="0.25">
      <c r="A230" s="5" t="str">
        <f>IF(input!$F$3&gt;A229,A229+1,"")</f>
        <v/>
      </c>
      <c r="B230" s="5"/>
      <c r="C230" s="5"/>
      <c r="D230" s="5"/>
    </row>
    <row r="231" spans="1:4" x14ac:dyDescent="0.25">
      <c r="A231" s="5" t="str">
        <f>IF(input!$F$3&gt;A230,A230+1,"")</f>
        <v/>
      </c>
      <c r="B231" s="5"/>
      <c r="C231" s="5"/>
      <c r="D231" s="5"/>
    </row>
    <row r="232" spans="1:4" x14ac:dyDescent="0.25">
      <c r="A232" s="5" t="str">
        <f>IF(input!$F$3&gt;A231,A231+1,"")</f>
        <v/>
      </c>
      <c r="B232" s="5"/>
      <c r="C232" s="5"/>
      <c r="D232" s="5"/>
    </row>
    <row r="233" spans="1:4" x14ac:dyDescent="0.25">
      <c r="A233" s="5" t="str">
        <f>IF(input!$F$3&gt;A232,A232+1,"")</f>
        <v/>
      </c>
      <c r="B233" s="5"/>
      <c r="C233" s="5"/>
      <c r="D233" s="5"/>
    </row>
    <row r="234" spans="1:4" x14ac:dyDescent="0.25">
      <c r="A234" s="5" t="str">
        <f>IF(input!$F$3&gt;A233,A233+1,"")</f>
        <v/>
      </c>
      <c r="B234" s="5"/>
      <c r="C234" s="5"/>
      <c r="D234" s="5"/>
    </row>
    <row r="235" spans="1:4" x14ac:dyDescent="0.25">
      <c r="A235" s="5" t="str">
        <f>IF(input!$F$3&gt;A234,A234+1,"")</f>
        <v/>
      </c>
      <c r="B235" s="5"/>
      <c r="C235" s="5"/>
      <c r="D235" s="5"/>
    </row>
    <row r="236" spans="1:4" x14ac:dyDescent="0.25">
      <c r="A236" s="5" t="str">
        <f>IF(input!$F$3&gt;A235,A235+1,"")</f>
        <v/>
      </c>
      <c r="B236" s="5"/>
      <c r="C236" s="5"/>
      <c r="D236" s="5"/>
    </row>
    <row r="237" spans="1:4" x14ac:dyDescent="0.25">
      <c r="A237" s="5" t="str">
        <f>IF(input!$F$3&gt;A236,A236+1,"")</f>
        <v/>
      </c>
      <c r="B237" s="5"/>
      <c r="C237" s="5"/>
      <c r="D237" s="5"/>
    </row>
  </sheetData>
  <sheetProtection sheet="1" objects="1" scenarios="1"/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/>
  </sheetPr>
  <dimension ref="A1:K204"/>
  <sheetViews>
    <sheetView topLeftCell="A22" workbookViewId="0">
      <selection activeCell="E24" sqref="E24"/>
    </sheetView>
  </sheetViews>
  <sheetFormatPr defaultRowHeight="15" x14ac:dyDescent="0.25"/>
  <cols>
    <col min="1" max="1" width="9" style="20"/>
    <col min="2" max="2" width="10.125" style="20" bestFit="1" customWidth="1"/>
    <col min="3" max="3" width="20.25" style="20" bestFit="1" customWidth="1"/>
    <col min="4" max="4" width="14.875" style="20" bestFit="1" customWidth="1"/>
    <col min="5" max="5" width="14.875" style="20" customWidth="1"/>
    <col min="6" max="6" width="17.375" style="20" bestFit="1" customWidth="1"/>
    <col min="7" max="7" width="32.875" style="20" customWidth="1"/>
    <col min="9" max="9" width="36.625" bestFit="1" customWidth="1"/>
    <col min="10" max="11" width="13" bestFit="1" customWidth="1"/>
  </cols>
  <sheetData>
    <row r="1" spans="1:11" x14ac:dyDescent="0.25">
      <c r="A1" s="57" t="s">
        <v>33</v>
      </c>
      <c r="B1" s="57"/>
      <c r="C1" s="57"/>
      <c r="D1" s="57"/>
      <c r="E1" s="57"/>
      <c r="F1" s="57"/>
      <c r="G1" s="57"/>
      <c r="I1" s="58"/>
      <c r="J1" s="58"/>
    </row>
    <row r="2" spans="1:11" x14ac:dyDescent="0.25">
      <c r="A2" s="25" t="s">
        <v>14</v>
      </c>
      <c r="B2" s="25" t="s">
        <v>34</v>
      </c>
      <c r="C2" s="25" t="s">
        <v>31</v>
      </c>
      <c r="D2" s="25" t="s">
        <v>29</v>
      </c>
      <c r="E2" s="25" t="s">
        <v>40</v>
      </c>
      <c r="F2" s="25" t="s">
        <v>30</v>
      </c>
      <c r="G2" s="25" t="s">
        <v>32</v>
      </c>
      <c r="J2" s="17"/>
      <c r="K2" s="17"/>
    </row>
    <row r="3" spans="1:11" x14ac:dyDescent="0.25">
      <c r="A3" s="27">
        <v>0</v>
      </c>
      <c r="B3" s="28">
        <f t="shared" ref="B3:B34" si="0">IF(A3="","",starting_year+(A3-1))</f>
        <v>2016</v>
      </c>
      <c r="C3" s="27" t="str">
        <f>IF(A3&lt;=input!$F$3, "False", IF(AND(A3&gt;input!$F$3,A3&lt;=(input!$F$3+input!$C$5)), "True", ""))</f>
        <v>False</v>
      </c>
      <c r="D3" s="29">
        <f>IF(A3="","",IF(C3="False",FV(input!$C$10,A3,-input!$F$16,,input!$C$7),G2))</f>
        <v>0</v>
      </c>
      <c r="E3" s="29">
        <f>IF(Table1[[#This Row],[Period]]="","",Table1[[#This Row],[Balance]]*profit_rate)</f>
        <v>0</v>
      </c>
      <c r="F3" s="29">
        <f>IF(A3="","",IF(A3&gt;=input!$F$3, input!$F$12,0))</f>
        <v>0</v>
      </c>
      <c r="G3" s="29">
        <f>IF(F3="","",D3-F3+Table1[[#This Row],[Interest]])</f>
        <v>0</v>
      </c>
      <c r="J3" s="17"/>
      <c r="K3" s="17"/>
    </row>
    <row r="4" spans="1:11" x14ac:dyDescent="0.25">
      <c r="A4" s="20">
        <f>IF(A3="","",IF(A3+2&gt;input!$F$3+input!$C$5, "", A3+1))</f>
        <v>1</v>
      </c>
      <c r="B4" s="20">
        <f t="shared" si="0"/>
        <v>2017</v>
      </c>
      <c r="C4" s="20" t="str">
        <f>IF(A4&lt;=input!$F$3, "False", IF(AND(A4&gt;input!$F$3,A4&lt;=(input!$F$3+input!$C$5)), "True", ""))</f>
        <v>False</v>
      </c>
      <c r="D4" s="29">
        <f>IF(A4="","",IF(C4="False",FV(input!$C$10,A4,-input!$F$16,,input!$C$7),G3))</f>
        <v>62026.179328098668</v>
      </c>
      <c r="E4" s="26">
        <f>IF(Table1[[#This Row],[Period]]="","",Table1[[#This Row],[Balance]]*profit_rate)</f>
        <v>1860.7853798429599</v>
      </c>
      <c r="F4" s="26">
        <f>IF(A4="","",IF(A4&gt;=input!$F$3, input!$F$12,0))</f>
        <v>0</v>
      </c>
      <c r="G4" s="26">
        <f>IF(F4="","",D4-F4+Table1[[#This Row],[Interest]])</f>
        <v>63886.964707941625</v>
      </c>
      <c r="K4" s="17"/>
    </row>
    <row r="5" spans="1:11" x14ac:dyDescent="0.25">
      <c r="A5" s="20">
        <f>IF(A4="","",IF(A4+2&gt;input!$F$3+input!$C$5, "", A4+1))</f>
        <v>2</v>
      </c>
      <c r="B5" s="20">
        <f t="shared" si="0"/>
        <v>2018</v>
      </c>
      <c r="C5" s="20" t="str">
        <f>IF(A5&lt;=input!$F$3, "False", IF(AND(A5&gt;input!$F$3,A5&lt;=(input!$F$3+input!$C$5)), "True", ""))</f>
        <v>False</v>
      </c>
      <c r="D5" s="26">
        <f>IF(A5="","",IF(C5="False",FV(input!$C$10,A5,-input!$F$16,,input!$C$7),G4))</f>
        <v>125913.1440360401</v>
      </c>
      <c r="E5" s="26">
        <f>IF(Table1[[#This Row],[Period]]="","",Table1[[#This Row],[Balance]]*profit_rate)</f>
        <v>3777.3943210812031</v>
      </c>
      <c r="F5" s="26">
        <f>IF(A5="","",IF(A5&gt;=input!$F$3, input!$F$12,0))</f>
        <v>0</v>
      </c>
      <c r="G5" s="26">
        <f>IF(F5="","",D5-F5+Table1[[#This Row],[Interest]])</f>
        <v>129690.5383571213</v>
      </c>
    </row>
    <row r="6" spans="1:11" x14ac:dyDescent="0.25">
      <c r="A6" s="20">
        <f>IF(A5="","",IF(A5+2&gt;input!$F$3+input!$C$5, "", A5+1))</f>
        <v>3</v>
      </c>
      <c r="B6" s="20">
        <f t="shared" si="0"/>
        <v>2019</v>
      </c>
      <c r="C6" s="20" t="str">
        <f>IF(A6&lt;=input!$F$3, "False", IF(AND(A6&gt;input!$F$3,A6&lt;=(input!$F$3+input!$C$5)), "True", ""))</f>
        <v>False</v>
      </c>
      <c r="D6" s="26">
        <f>IF(A6="","",IF(C6="False",FV(input!$C$10,A6,-input!$F$16,,input!$C$7),G5))</f>
        <v>191716.71768522004</v>
      </c>
      <c r="E6" s="26">
        <f>IF(Table1[[#This Row],[Period]]="","",Table1[[#This Row],[Balance]]*profit_rate)</f>
        <v>5751.5015305566012</v>
      </c>
      <c r="F6" s="26">
        <f>IF(A6="","",IF(A6&gt;=input!$F$3, input!$F$12,0))</f>
        <v>0</v>
      </c>
      <c r="G6" s="26">
        <f>IF(F6="","",D6-F6+Table1[[#This Row],[Interest]])</f>
        <v>197468.21921577663</v>
      </c>
    </row>
    <row r="7" spans="1:11" x14ac:dyDescent="0.25">
      <c r="A7" s="20">
        <f>IF(A6="","",IF(A6+2&gt;input!$F$3+input!$C$5, "", A6+1))</f>
        <v>4</v>
      </c>
      <c r="B7" s="20">
        <f t="shared" si="0"/>
        <v>2020</v>
      </c>
      <c r="C7" s="20" t="str">
        <f>IF(A7&lt;=input!$F$3, "False", IF(AND(A7&gt;input!$F$3,A7&lt;=(input!$F$3+input!$C$5)), "True", ""))</f>
        <v>False</v>
      </c>
      <c r="D7" s="26">
        <f>IF(A7="","",IF(C7="False",FV(input!$C$10,A7,-input!$F$16,,input!$C$7),G6))</f>
        <v>259494.39854387511</v>
      </c>
      <c r="E7" s="26">
        <f>IF(Table1[[#This Row],[Period]]="","",Table1[[#This Row],[Balance]]*profit_rate)</f>
        <v>7784.8319563162531</v>
      </c>
      <c r="F7" s="26">
        <f>IF(A7="","",IF(A7&gt;=input!$F$3, input!$F$12,0))</f>
        <v>0</v>
      </c>
      <c r="G7" s="26">
        <f>IF(F7="","",D7-F7+Table1[[#This Row],[Interest]])</f>
        <v>267279.23050019139</v>
      </c>
    </row>
    <row r="8" spans="1:11" x14ac:dyDescent="0.25">
      <c r="A8" s="20">
        <f>IF(A7="","",IF(A7+2&gt;input!$F$3+input!$C$5, "", A7+1))</f>
        <v>5</v>
      </c>
      <c r="B8" s="20">
        <f t="shared" si="0"/>
        <v>2021</v>
      </c>
      <c r="C8" s="20" t="str">
        <f>IF(A8&lt;=input!$F$3, "False", IF(AND(A8&gt;input!$F$3,A8&lt;=(input!$F$3+input!$C$5)), "True", ""))</f>
        <v>False</v>
      </c>
      <c r="D8" s="26">
        <f>IF(A8="","",IF(C8="False",FV(input!$C$10,A8,-input!$F$16,,input!$C$7),G7))</f>
        <v>329305.40982828982</v>
      </c>
      <c r="E8" s="26">
        <f>IF(Table1[[#This Row],[Period]]="","",Table1[[#This Row],[Balance]]*profit_rate)</f>
        <v>9879.1622948486947</v>
      </c>
      <c r="F8" s="26">
        <f>IF(A8="","",IF(A8&gt;=input!$F$3, input!$F$12,0))</f>
        <v>0</v>
      </c>
      <c r="G8" s="26">
        <f>IF(F8="","",D8-F8+Table1[[#This Row],[Interest]])</f>
        <v>339184.57212313853</v>
      </c>
    </row>
    <row r="9" spans="1:11" x14ac:dyDescent="0.25">
      <c r="A9" s="20">
        <f>IF(A8="","",IF(A8+2&gt;input!$F$3+input!$C$5, "", A8+1))</f>
        <v>6</v>
      </c>
      <c r="B9" s="20">
        <f t="shared" si="0"/>
        <v>2022</v>
      </c>
      <c r="C9" s="20" t="str">
        <f>IF(A9&lt;=input!$F$3, "False", IF(AND(A9&gt;input!$F$3,A9&lt;=(input!$F$3+input!$C$5)), "True", ""))</f>
        <v>False</v>
      </c>
      <c r="D9" s="26">
        <f>IF(A9="","",IF(C9="False",FV(input!$C$10,A9,-input!$F$16,,input!$C$7),G8))</f>
        <v>401210.75145123719</v>
      </c>
      <c r="E9" s="26">
        <f>IF(Table1[[#This Row],[Period]]="","",Table1[[#This Row],[Balance]]*profit_rate)</f>
        <v>12036.322543537115</v>
      </c>
      <c r="F9" s="26">
        <f>IF(A9="","",IF(A9&gt;=input!$F$3, input!$F$12,0))</f>
        <v>0</v>
      </c>
      <c r="G9" s="26">
        <f>IF(F9="","",D9-F9+Table1[[#This Row],[Interest]])</f>
        <v>413247.07399477431</v>
      </c>
    </row>
    <row r="10" spans="1:11" x14ac:dyDescent="0.25">
      <c r="A10" s="20">
        <f>IF(A9="","",IF(A9+2&gt;input!$F$3+input!$C$5, "", A9+1))</f>
        <v>7</v>
      </c>
      <c r="B10" s="20">
        <f t="shared" si="0"/>
        <v>2023</v>
      </c>
      <c r="C10" s="20" t="str">
        <f>IF(A10&lt;=input!$F$3, "False", IF(AND(A10&gt;input!$F$3,A10&lt;=(input!$F$3+input!$C$5)), "True", ""))</f>
        <v>False</v>
      </c>
      <c r="D10" s="26">
        <f>IF(A10="","",IF(C10="False",FV(input!$C$10,A10,-input!$F$16,,input!$C$7),G9))</f>
        <v>475273.25332287309</v>
      </c>
      <c r="E10" s="26">
        <f>IF(Table1[[#This Row],[Period]]="","",Table1[[#This Row],[Balance]]*profit_rate)</f>
        <v>14258.197599686193</v>
      </c>
      <c r="F10" s="26">
        <f>IF(A10="","",IF(A10&gt;=input!$F$3, input!$F$12,0))</f>
        <v>0</v>
      </c>
      <c r="G10" s="26">
        <f>IF(F10="","",D10-F10+Table1[[#This Row],[Interest]])</f>
        <v>489531.45092255931</v>
      </c>
    </row>
    <row r="11" spans="1:11" x14ac:dyDescent="0.25">
      <c r="A11" s="20">
        <f>IF(A10="","",IF(A10+2&gt;input!$F$3+input!$C$5, "", A10+1))</f>
        <v>8</v>
      </c>
      <c r="B11" s="20">
        <f t="shared" si="0"/>
        <v>2024</v>
      </c>
      <c r="C11" s="20" t="str">
        <f>IF(A11&lt;=input!$F$3, "False", IF(AND(A11&gt;input!$F$3,A11&lt;=(input!$F$3+input!$C$5)), "True", ""))</f>
        <v>False</v>
      </c>
      <c r="D11" s="26">
        <f>IF(A11="","",IF(C11="False",FV(input!$C$10,A11,-input!$F$16,,input!$C$7),G10))</f>
        <v>551557.63025065768</v>
      </c>
      <c r="E11" s="26">
        <f>IF(Table1[[#This Row],[Period]]="","",Table1[[#This Row],[Balance]]*profit_rate)</f>
        <v>16546.72890751973</v>
      </c>
      <c r="F11" s="26">
        <f>IF(A11="","",IF(A11&gt;=input!$F$3, input!$F$12,0))</f>
        <v>0</v>
      </c>
      <c r="G11" s="26">
        <f>IF(F11="","",D11-F11+Table1[[#This Row],[Interest]])</f>
        <v>568104.35915817739</v>
      </c>
    </row>
    <row r="12" spans="1:11" x14ac:dyDescent="0.25">
      <c r="A12" s="20">
        <f>IF(A11="","",IF(A11+2&gt;input!$F$3+input!$C$5, "", A11+1))</f>
        <v>9</v>
      </c>
      <c r="B12" s="20">
        <f t="shared" si="0"/>
        <v>2025</v>
      </c>
      <c r="C12" s="20" t="str">
        <f>IF(A12&lt;=input!$F$3, "False", IF(AND(A12&gt;input!$F$3,A12&lt;=(input!$F$3+input!$C$5)), "True", ""))</f>
        <v>False</v>
      </c>
      <c r="D12" s="26">
        <f>IF(A12="","",IF(C12="False",FV(input!$C$10,A12,-input!$F$16,,input!$C$7),G11))</f>
        <v>630130.53848627605</v>
      </c>
      <c r="E12" s="26">
        <f>IF(Table1[[#This Row],[Period]]="","",Table1[[#This Row],[Balance]]*profit_rate)</f>
        <v>18903.916154588282</v>
      </c>
      <c r="F12" s="26">
        <f>IF(A12="","",IF(A12&gt;=input!$F$3, input!$F$12,0))</f>
        <v>0</v>
      </c>
      <c r="G12" s="26">
        <f>IF(F12="","",D12-F12+Table1[[#This Row],[Interest]])</f>
        <v>649034.45464086439</v>
      </c>
    </row>
    <row r="13" spans="1:11" x14ac:dyDescent="0.25">
      <c r="A13" s="20">
        <f>IF(A12="","",IF(A12+2&gt;input!$F$3+input!$C$5, "", A12+1))</f>
        <v>10</v>
      </c>
      <c r="B13" s="20">
        <f t="shared" si="0"/>
        <v>2026</v>
      </c>
      <c r="C13" s="20" t="str">
        <f>IF(A13&lt;=input!$F$3, "False", IF(AND(A13&gt;input!$F$3,A13&lt;=(input!$F$3+input!$C$5)), "True", ""))</f>
        <v>False</v>
      </c>
      <c r="D13" s="26">
        <f>IF(A13="","",IF(C13="False",FV(input!$C$10,A13,-input!$F$16,,input!$C$7),G12))</f>
        <v>711060.63396896305</v>
      </c>
      <c r="E13" s="26">
        <f>IF(Table1[[#This Row],[Period]]="","",Table1[[#This Row],[Balance]]*profit_rate)</f>
        <v>21331.819019068891</v>
      </c>
      <c r="F13" s="26">
        <f>IF(A13="","",IF(A13&gt;=input!$F$3, input!$F$12,0))</f>
        <v>0</v>
      </c>
      <c r="G13" s="26">
        <f>IF(F13="","",D13-F13+Table1[[#This Row],[Interest]])</f>
        <v>732392.4529880319</v>
      </c>
    </row>
    <row r="14" spans="1:11" x14ac:dyDescent="0.25">
      <c r="A14" s="20">
        <f>IF(A13="","",IF(A13+2&gt;input!$F$3+input!$C$5, "", A13+1))</f>
        <v>11</v>
      </c>
      <c r="B14" s="20">
        <f t="shared" si="0"/>
        <v>2027</v>
      </c>
      <c r="C14" s="20" t="str">
        <f>IF(A14&lt;=input!$F$3, "False", IF(AND(A14&gt;input!$F$3,A14&lt;=(input!$F$3+input!$C$5)), "True", ""))</f>
        <v>False</v>
      </c>
      <c r="D14" s="26">
        <f>IF(A14="","",IF(C14="False",FV(input!$C$10,A14,-input!$F$16,,input!$C$7),G13))</f>
        <v>794418.63231613045</v>
      </c>
      <c r="E14" s="26">
        <f>IF(Table1[[#This Row],[Period]]="","",Table1[[#This Row],[Balance]]*profit_rate)</f>
        <v>23832.558969483911</v>
      </c>
      <c r="F14" s="26">
        <f>IF(A14="","",IF(A14&gt;=input!$F$3, input!$F$12,0))</f>
        <v>0</v>
      </c>
      <c r="G14" s="26">
        <f>IF(F14="","",D14-F14+Table1[[#This Row],[Interest]])</f>
        <v>818251.19128561439</v>
      </c>
    </row>
    <row r="15" spans="1:11" x14ac:dyDescent="0.25">
      <c r="A15" s="20">
        <f>IF(A14="","",IF(A14+2&gt;input!$F$3+input!$C$5, "", A14+1))</f>
        <v>12</v>
      </c>
      <c r="B15" s="20">
        <f t="shared" si="0"/>
        <v>2028</v>
      </c>
      <c r="C15" s="20" t="str">
        <f>IF(A15&lt;=input!$F$3, "False", IF(AND(A15&gt;input!$F$3,A15&lt;=(input!$F$3+input!$C$5)), "True", ""))</f>
        <v>False</v>
      </c>
      <c r="D15" s="26">
        <f>IF(A15="","",IF(C15="False",FV(input!$C$10,A15,-input!$F$16,,input!$C$7),G14))</f>
        <v>880277.37061371258</v>
      </c>
      <c r="E15" s="26">
        <f>IF(Table1[[#This Row],[Period]]="","",Table1[[#This Row],[Balance]]*profit_rate)</f>
        <v>26408.321118411375</v>
      </c>
      <c r="F15" s="26">
        <f>IF(A15="","",IF(A15&gt;=input!$F$3, input!$F$12,0))</f>
        <v>0</v>
      </c>
      <c r="G15" s="26">
        <f>IF(F15="","",D15-F15+Table1[[#This Row],[Interest]])</f>
        <v>906685.69173212396</v>
      </c>
    </row>
    <row r="16" spans="1:11" x14ac:dyDescent="0.25">
      <c r="A16" s="20">
        <f>IF(A15="","",IF(A15+2&gt;input!$F$3+input!$C$5, "", A15+1))</f>
        <v>13</v>
      </c>
      <c r="B16" s="20">
        <f t="shared" si="0"/>
        <v>2029</v>
      </c>
      <c r="C16" s="20" t="str">
        <f>IF(A16&lt;=input!$F$3, "False", IF(AND(A16&gt;input!$F$3,A16&lt;=(input!$F$3+input!$C$5)), "True", ""))</f>
        <v>False</v>
      </c>
      <c r="D16" s="26">
        <f>IF(A16="","",IF(C16="False",FV(input!$C$10,A16,-input!$F$16,,input!$C$7),G15))</f>
        <v>968711.87106022262</v>
      </c>
      <c r="E16" s="26">
        <f>IF(Table1[[#This Row],[Period]]="","",Table1[[#This Row],[Balance]]*profit_rate)</f>
        <v>29061.356131806679</v>
      </c>
      <c r="F16" s="26">
        <f>IF(A16="","",IF(A16&gt;=input!$F$3, input!$F$12,0))</f>
        <v>0</v>
      </c>
      <c r="G16" s="26">
        <f>IF(F16="","",D16-F16+Table1[[#This Row],[Interest]])</f>
        <v>997773.22719202936</v>
      </c>
    </row>
    <row r="17" spans="1:7" x14ac:dyDescent="0.25">
      <c r="A17" s="20">
        <f>IF(A16="","",IF(A16+2&gt;input!$F$3+input!$C$5, "", A16+1))</f>
        <v>14</v>
      </c>
      <c r="B17" s="20">
        <f t="shared" si="0"/>
        <v>2030</v>
      </c>
      <c r="C17" s="20" t="str">
        <f>IF(A17&lt;=input!$F$3, "False", IF(AND(A17&gt;input!$F$3,A17&lt;=(input!$F$3+input!$C$5)), "True", ""))</f>
        <v>False</v>
      </c>
      <c r="D17" s="26">
        <f>IF(A17="","",IF(C17="False",FV(input!$C$10,A17,-input!$F$16,,input!$C$7),G16))</f>
        <v>1059799.406520128</v>
      </c>
      <c r="E17" s="26">
        <f>IF(Table1[[#This Row],[Period]]="","",Table1[[#This Row],[Balance]]*profit_rate)</f>
        <v>31793.98219560384</v>
      </c>
      <c r="F17" s="26">
        <f>IF(A17="","",IF(A17&gt;=input!$F$3, input!$F$12,0))</f>
        <v>0</v>
      </c>
      <c r="G17" s="26">
        <f>IF(F17="","",D17-F17+Table1[[#This Row],[Interest]])</f>
        <v>1091593.3887157319</v>
      </c>
    </row>
    <row r="18" spans="1:7" x14ac:dyDescent="0.25">
      <c r="A18" s="20">
        <f>IF(A17="","",IF(A17+2&gt;input!$F$3+input!$C$5, "", A17+1))</f>
        <v>15</v>
      </c>
      <c r="B18" s="20">
        <f t="shared" si="0"/>
        <v>2031</v>
      </c>
      <c r="C18" s="20" t="str">
        <f>IF(A18&lt;=input!$F$3, "False", IF(AND(A18&gt;input!$F$3,A18&lt;=(input!$F$3+input!$C$5)), "True", ""))</f>
        <v>False</v>
      </c>
      <c r="D18" s="26">
        <f>IF(A18="","",IF(C18="False",FV(input!$C$10,A18,-input!$F$16,,input!$C$7),G17))</f>
        <v>1153619.5680438308</v>
      </c>
      <c r="E18" s="26">
        <f>IF(Table1[[#This Row],[Period]]="","",Table1[[#This Row],[Balance]]*profit_rate)</f>
        <v>34608.587041314924</v>
      </c>
      <c r="F18" s="26">
        <f>IF(A18="","",IF(A18&gt;=input!$F$3, input!$F$12,0))</f>
        <v>0</v>
      </c>
      <c r="G18" s="26">
        <f>IF(F18="","",D18-F18+Table1[[#This Row],[Interest]])</f>
        <v>1188228.1550851457</v>
      </c>
    </row>
    <row r="19" spans="1:7" x14ac:dyDescent="0.25">
      <c r="A19" s="20">
        <f>IF(A18="","",IF(A18+2&gt;input!$F$3+input!$C$5, "", A18+1))</f>
        <v>16</v>
      </c>
      <c r="B19" s="20">
        <f t="shared" si="0"/>
        <v>2032</v>
      </c>
      <c r="C19" s="20" t="str">
        <f>IF(A19&lt;=input!$F$3, "False", IF(AND(A19&gt;input!$F$3,A19&lt;=(input!$F$3+input!$C$5)), "True", ""))</f>
        <v>False</v>
      </c>
      <c r="D19" s="26">
        <f>IF(A19="","",IF(C19="False",FV(input!$C$10,A19,-input!$F$16,,input!$C$7),G18))</f>
        <v>1250254.3344132437</v>
      </c>
      <c r="E19" s="26">
        <f>IF(Table1[[#This Row],[Period]]="","",Table1[[#This Row],[Balance]]*profit_rate)</f>
        <v>37507.630032397312</v>
      </c>
      <c r="F19" s="26">
        <f>IF(A19="","",IF(A19&gt;=input!$F$3, input!$F$12,0))</f>
        <v>0</v>
      </c>
      <c r="G19" s="26">
        <f>IF(F19="","",D19-F19+Table1[[#This Row],[Interest]])</f>
        <v>1287761.964445641</v>
      </c>
    </row>
    <row r="20" spans="1:7" x14ac:dyDescent="0.25">
      <c r="A20" s="20">
        <f>IF(A19="","",IF(A19+2&gt;input!$F$3+input!$C$5, "", A19+1))</f>
        <v>17</v>
      </c>
      <c r="B20" s="20">
        <f t="shared" si="0"/>
        <v>2033</v>
      </c>
      <c r="C20" s="20" t="str">
        <f>IF(A20&lt;=input!$F$3, "False", IF(AND(A20&gt;input!$F$3,A20&lt;=(input!$F$3+input!$C$5)), "True", ""))</f>
        <v>False</v>
      </c>
      <c r="D20" s="26">
        <f>IF(A20="","",IF(C20="False",FV(input!$C$10,A20,-input!$F$16,,input!$C$7),G19))</f>
        <v>1349788.1437737397</v>
      </c>
      <c r="E20" s="26">
        <f>IF(Table1[[#This Row],[Period]]="","",Table1[[#This Row],[Balance]]*profit_rate)</f>
        <v>40493.644313212186</v>
      </c>
      <c r="F20" s="26">
        <f>IF(A20="","",IF(A20&gt;=input!$F$3, input!$F$12,0))</f>
        <v>0</v>
      </c>
      <c r="G20" s="26">
        <f>IF(F20="","",D20-F20+Table1[[#This Row],[Interest]])</f>
        <v>1390281.7880869519</v>
      </c>
    </row>
    <row r="21" spans="1:7" x14ac:dyDescent="0.25">
      <c r="A21" s="20">
        <f>IF(A20="","",IF(A20+2&gt;input!$F$3+input!$C$5, "", A20+1))</f>
        <v>18</v>
      </c>
      <c r="B21" s="20">
        <f t="shared" si="0"/>
        <v>2034</v>
      </c>
      <c r="C21" s="20" t="str">
        <f>IF(A21&lt;=input!$F$3, "False", IF(AND(A21&gt;input!$F$3,A21&lt;=(input!$F$3+input!$C$5)), "True", ""))</f>
        <v>False</v>
      </c>
      <c r="D21" s="26">
        <f>IF(A21="","",IF(C21="False",FV(input!$C$10,A21,-input!$F$16,,input!$C$7),G20))</f>
        <v>1452307.9674150506</v>
      </c>
      <c r="E21" s="26">
        <f>IF(Table1[[#This Row],[Period]]="","",Table1[[#This Row],[Balance]]*profit_rate)</f>
        <v>43569.239022451518</v>
      </c>
      <c r="F21" s="26">
        <f>IF(A21="","",IF(A21&gt;=input!$F$3, input!$F$12,0))</f>
        <v>0</v>
      </c>
      <c r="G21" s="26">
        <f>IF(F21="","",D21-F21+Table1[[#This Row],[Interest]])</f>
        <v>1495877.2064375021</v>
      </c>
    </row>
    <row r="22" spans="1:7" x14ac:dyDescent="0.25">
      <c r="A22" s="20">
        <f>IF(A21="","",IF(A21+2&gt;input!$F$3+input!$C$5, "", A21+1))</f>
        <v>19</v>
      </c>
      <c r="B22" s="20">
        <f t="shared" si="0"/>
        <v>2035</v>
      </c>
      <c r="C22" s="20" t="str">
        <f>IF(A22&lt;=input!$F$3, "False", IF(AND(A22&gt;input!$F$3,A22&lt;=(input!$F$3+input!$C$5)), "True", ""))</f>
        <v>False</v>
      </c>
      <c r="D22" s="26">
        <f>IF(A22="","",IF(C22="False",FV(input!$C$10,A22,-input!$F$16,,input!$C$7),G21))</f>
        <v>1557903.3857656005</v>
      </c>
      <c r="E22" s="26">
        <f>IF(Table1[[#This Row],[Period]]="","",Table1[[#This Row],[Balance]]*profit_rate)</f>
        <v>46737.101572968015</v>
      </c>
      <c r="F22" s="26">
        <f>IF(A22="","",IF(A22&gt;=input!$F$3, input!$F$12,0))</f>
        <v>0</v>
      </c>
      <c r="G22" s="26">
        <f>IF(F22="","",D22-F22+Table1[[#This Row],[Interest]])</f>
        <v>1604640.4873385685</v>
      </c>
    </row>
    <row r="23" spans="1:7" x14ac:dyDescent="0.25">
      <c r="A23" s="20">
        <f>IF(A22="","",IF(A22+2&gt;input!$F$3+input!$C$5, "", A22+1))</f>
        <v>20</v>
      </c>
      <c r="B23" s="20">
        <f t="shared" si="0"/>
        <v>2036</v>
      </c>
      <c r="C23" s="20" t="str">
        <f>IF(A23&lt;=input!$F$3, "False", IF(AND(A23&gt;input!$F$3,A23&lt;=(input!$F$3+input!$C$5)), "True", ""))</f>
        <v>False</v>
      </c>
      <c r="D23" s="26">
        <f>IF(A23="","",IF(C23="False",FV(input!$C$10,A23,-input!$F$16,,input!$C$7),G22))</f>
        <v>1666666.666666667</v>
      </c>
      <c r="E23" s="26">
        <f>IF(Table1[[#This Row],[Period]]="","",Table1[[#This Row],[Balance]]*profit_rate)</f>
        <v>50000.000000000007</v>
      </c>
      <c r="F23" s="26">
        <f>IF(A23="","",IF(A23&gt;=input!$F$3, input!$F$12,0))</f>
        <v>50000</v>
      </c>
      <c r="G23" s="26">
        <f>IF(F23="","",D23-F23+Table1[[#This Row],[Interest]])</f>
        <v>1666666.666666667</v>
      </c>
    </row>
    <row r="24" spans="1:7" x14ac:dyDescent="0.25">
      <c r="A24" s="20">
        <f>IF(A23="","",IF(A23+2&gt;input!$F$3+input!$C$5, "", A23+1))</f>
        <v>21</v>
      </c>
      <c r="B24" s="20">
        <f t="shared" si="0"/>
        <v>2037</v>
      </c>
      <c r="C24" s="20" t="str">
        <f>IF(A24&lt;=input!$F$3, "False", IF(AND(A24&gt;input!$F$3,A24&lt;=(input!$F$3+input!$C$5)), "True", ""))</f>
        <v>True</v>
      </c>
      <c r="D24" s="26">
        <f>IF(A24="","",IF(C24="False",FV(input!$C$10,A24,-input!$F$16,,input!$C$7),G23))</f>
        <v>1666666.666666667</v>
      </c>
      <c r="E24" s="26">
        <f>IF(Table1[[#This Row],[Period]]="","",Table1[[#This Row],[Balance]]*profit_rate)</f>
        <v>50000.000000000007</v>
      </c>
      <c r="F24" s="26">
        <f>IF(A24="","",IF(A24&gt;=input!$F$3, input!$F$12,0))</f>
        <v>50000</v>
      </c>
      <c r="G24" s="26">
        <f>IF(F24="","",D24-F24+Table1[[#This Row],[Interest]])</f>
        <v>1666666.666666667</v>
      </c>
    </row>
    <row r="25" spans="1:7" x14ac:dyDescent="0.25">
      <c r="A25" s="20">
        <f>IF(A24="","",IF(A24+2&gt;input!$F$3+input!$C$5, "", A24+1))</f>
        <v>22</v>
      </c>
      <c r="B25" s="20">
        <f t="shared" si="0"/>
        <v>2038</v>
      </c>
      <c r="C25" s="20" t="str">
        <f>IF(A25&lt;=input!$F$3, "False", IF(AND(A25&gt;input!$F$3,A25&lt;=(input!$F$3+input!$C$5)), "True", ""))</f>
        <v>True</v>
      </c>
      <c r="D25" s="26">
        <f>IF(A25="","",IF(C25="False",FV(input!$C$10,A25,-input!$F$16,,input!$C$7),G24))</f>
        <v>1666666.666666667</v>
      </c>
      <c r="E25" s="26">
        <f>IF(Table1[[#This Row],[Period]]="","",Table1[[#This Row],[Balance]]*profit_rate)</f>
        <v>50000.000000000007</v>
      </c>
      <c r="F25" s="26">
        <f>IF(A25="","",IF(A25&gt;=input!$F$3, input!$F$12,0))</f>
        <v>50000</v>
      </c>
      <c r="G25" s="26">
        <f>IF(F25="","",D25-F25+Table1[[#This Row],[Interest]])</f>
        <v>1666666.666666667</v>
      </c>
    </row>
    <row r="26" spans="1:7" x14ac:dyDescent="0.25">
      <c r="A26" s="20">
        <f>IF(A25="","",IF(A25+2&gt;input!$F$3+input!$C$5, "", A25+1))</f>
        <v>23</v>
      </c>
      <c r="B26" s="20">
        <f t="shared" si="0"/>
        <v>2039</v>
      </c>
      <c r="C26" s="20" t="str">
        <f>IF(A26&lt;=input!$F$3, "False", IF(AND(A26&gt;input!$F$3,A26&lt;=(input!$F$3+input!$C$5)), "True", ""))</f>
        <v>True</v>
      </c>
      <c r="D26" s="26">
        <f>IF(A26="","",IF(C26="False",FV(input!$C$10,A26,-input!$F$16,,input!$C$7),G25))</f>
        <v>1666666.666666667</v>
      </c>
      <c r="E26" s="26">
        <f>IF(Table1[[#This Row],[Period]]="","",Table1[[#This Row],[Balance]]*profit_rate)</f>
        <v>50000.000000000007</v>
      </c>
      <c r="F26" s="26">
        <f>IF(A26="","",IF(A26&gt;=input!$F$3, input!$F$12,0))</f>
        <v>50000</v>
      </c>
      <c r="G26" s="26">
        <f>IF(F26="","",D26-F26+Table1[[#This Row],[Interest]])</f>
        <v>1666666.666666667</v>
      </c>
    </row>
    <row r="27" spans="1:7" x14ac:dyDescent="0.25">
      <c r="A27" s="20">
        <f>IF(A26="","",IF(A26+2&gt;input!$F$3+input!$C$5, "", A26+1))</f>
        <v>24</v>
      </c>
      <c r="B27" s="20">
        <f t="shared" si="0"/>
        <v>2040</v>
      </c>
      <c r="C27" s="20" t="str">
        <f>IF(A27&lt;=input!$F$3, "False", IF(AND(A27&gt;input!$F$3,A27&lt;=(input!$F$3+input!$C$5)), "True", ""))</f>
        <v>True</v>
      </c>
      <c r="D27" s="26">
        <f>IF(A27="","",IF(C27="False",FV(input!$C$10,A27,-input!$F$16,,input!$C$7),G26))</f>
        <v>1666666.666666667</v>
      </c>
      <c r="E27" s="26">
        <f>IF(Table1[[#This Row],[Period]]="","",Table1[[#This Row],[Balance]]*profit_rate)</f>
        <v>50000.000000000007</v>
      </c>
      <c r="F27" s="26">
        <f>IF(A27="","",IF(A27&gt;=input!$F$3, input!$F$12,0))</f>
        <v>50000</v>
      </c>
      <c r="G27" s="26">
        <f>IF(F27="","",D27-F27+Table1[[#This Row],[Interest]])</f>
        <v>1666666.666666667</v>
      </c>
    </row>
    <row r="28" spans="1:7" x14ac:dyDescent="0.25">
      <c r="A28" s="20">
        <f>IF(A27="","",IF(A27+2&gt;input!$F$3+input!$C$5, "", A27+1))</f>
        <v>25</v>
      </c>
      <c r="B28" s="20">
        <f t="shared" si="0"/>
        <v>2041</v>
      </c>
      <c r="C28" s="20" t="str">
        <f>IF(A28&lt;=input!$F$3, "False", IF(AND(A28&gt;input!$F$3,A28&lt;=(input!$F$3+input!$C$5)), "True", ""))</f>
        <v>True</v>
      </c>
      <c r="D28" s="26">
        <f>IF(A28="","",IF(C28="False",FV(input!$C$10,A28,-input!$F$16,,input!$C$7),G27))</f>
        <v>1666666.666666667</v>
      </c>
      <c r="E28" s="26">
        <f>IF(Table1[[#This Row],[Period]]="","",Table1[[#This Row],[Balance]]*profit_rate)</f>
        <v>50000.000000000007</v>
      </c>
      <c r="F28" s="26">
        <f>IF(A28="","",IF(A28&gt;=input!$F$3, input!$F$12,0))</f>
        <v>50000</v>
      </c>
      <c r="G28" s="26">
        <f>IF(F28="","",D28-F28+Table1[[#This Row],[Interest]])</f>
        <v>1666666.666666667</v>
      </c>
    </row>
    <row r="29" spans="1:7" x14ac:dyDescent="0.25">
      <c r="A29" s="20">
        <f>IF(A28="","",IF(A28+2&gt;input!$F$3+input!$C$5, "", A28+1))</f>
        <v>26</v>
      </c>
      <c r="B29" s="20">
        <f t="shared" si="0"/>
        <v>2042</v>
      </c>
      <c r="C29" s="20" t="str">
        <f>IF(A29&lt;=input!$F$3, "False", IF(AND(A29&gt;input!$F$3,A29&lt;=(input!$F$3+input!$C$5)), "True", ""))</f>
        <v>True</v>
      </c>
      <c r="D29" s="26">
        <f>IF(A29="","",IF(C29="False",FV(input!$C$10,A29,-input!$F$16,,input!$C$7),G28))</f>
        <v>1666666.666666667</v>
      </c>
      <c r="E29" s="26">
        <f>IF(Table1[[#This Row],[Period]]="","",Table1[[#This Row],[Balance]]*profit_rate)</f>
        <v>50000.000000000007</v>
      </c>
      <c r="F29" s="26">
        <f>IF(A29="","",IF(A29&gt;=input!$F$3, input!$F$12,0))</f>
        <v>50000</v>
      </c>
      <c r="G29" s="26">
        <f>IF(F29="","",D29-F29+Table1[[#This Row],[Interest]])</f>
        <v>1666666.666666667</v>
      </c>
    </row>
    <row r="30" spans="1:7" x14ac:dyDescent="0.25">
      <c r="A30" s="20">
        <f>IF(A29="","",IF(A29+2&gt;input!$F$3+input!$C$5, "", A29+1))</f>
        <v>27</v>
      </c>
      <c r="B30" s="20">
        <f t="shared" si="0"/>
        <v>2043</v>
      </c>
      <c r="C30" s="20" t="str">
        <f>IF(A30&lt;=input!$F$3, "False", IF(AND(A30&gt;input!$F$3,A30&lt;=(input!$F$3+input!$C$5)), "True", ""))</f>
        <v>True</v>
      </c>
      <c r="D30" s="26">
        <f>IF(A30="","",IF(C30="False",FV(input!$C$10,A30,-input!$F$16,,input!$C$7),G29))</f>
        <v>1666666.666666667</v>
      </c>
      <c r="E30" s="26">
        <f>IF(Table1[[#This Row],[Period]]="","",Table1[[#This Row],[Balance]]*profit_rate)</f>
        <v>50000.000000000007</v>
      </c>
      <c r="F30" s="26">
        <f>IF(A30="","",IF(A30&gt;=input!$F$3, input!$F$12,0))</f>
        <v>50000</v>
      </c>
      <c r="G30" s="26">
        <f>IF(F30="","",D30-F30+Table1[[#This Row],[Interest]])</f>
        <v>1666666.666666667</v>
      </c>
    </row>
    <row r="31" spans="1:7" x14ac:dyDescent="0.25">
      <c r="A31" s="20">
        <f>IF(A30="","",IF(A30+2&gt;input!$F$3+input!$C$5, "", A30+1))</f>
        <v>28</v>
      </c>
      <c r="B31" s="20">
        <f t="shared" si="0"/>
        <v>2044</v>
      </c>
      <c r="C31" s="20" t="str">
        <f>IF(A31&lt;=input!$F$3, "False", IF(AND(A31&gt;input!$F$3,A31&lt;=(input!$F$3+input!$C$5)), "True", ""))</f>
        <v>True</v>
      </c>
      <c r="D31" s="26">
        <f>IF(A31="","",IF(C31="False",FV(input!$C$10,A31,-input!$F$16,,input!$C$7),G30))</f>
        <v>1666666.666666667</v>
      </c>
      <c r="E31" s="26">
        <f>IF(Table1[[#This Row],[Period]]="","",Table1[[#This Row],[Balance]]*profit_rate)</f>
        <v>50000.000000000007</v>
      </c>
      <c r="F31" s="26">
        <f>IF(A31="","",IF(A31&gt;=input!$F$3, input!$F$12,0))</f>
        <v>50000</v>
      </c>
      <c r="G31" s="26">
        <f>IF(F31="","",D31-F31+Table1[[#This Row],[Interest]])</f>
        <v>1666666.666666667</v>
      </c>
    </row>
    <row r="32" spans="1:7" x14ac:dyDescent="0.25">
      <c r="A32" s="20">
        <f>IF(A31="","",IF(A31+2&gt;input!$F$3+input!$C$5, "", A31+1))</f>
        <v>29</v>
      </c>
      <c r="B32" s="20">
        <f t="shared" si="0"/>
        <v>2045</v>
      </c>
      <c r="C32" s="20" t="str">
        <f>IF(A32&lt;=input!$F$3, "False", IF(AND(A32&gt;input!$F$3,A32&lt;=(input!$F$3+input!$C$5)), "True", ""))</f>
        <v>True</v>
      </c>
      <c r="D32" s="26">
        <f>IF(A32="","",IF(C32="False",FV(input!$C$10,A32,-input!$F$16,,input!$C$7),G31))</f>
        <v>1666666.666666667</v>
      </c>
      <c r="E32" s="26">
        <f>IF(Table1[[#This Row],[Period]]="","",Table1[[#This Row],[Balance]]*profit_rate)</f>
        <v>50000.000000000007</v>
      </c>
      <c r="F32" s="26">
        <f>IF(A32="","",IF(A32&gt;=input!$F$3, input!$F$12,0))</f>
        <v>50000</v>
      </c>
      <c r="G32" s="26">
        <f>IF(F32="","",D32-F32+Table1[[#This Row],[Interest]])</f>
        <v>1666666.666666667</v>
      </c>
    </row>
    <row r="33" spans="1:7" x14ac:dyDescent="0.25">
      <c r="A33" s="20">
        <f>IF(A32="","",IF(A32+2&gt;input!$F$3+input!$C$5, "", A32+1))</f>
        <v>30</v>
      </c>
      <c r="B33" s="20">
        <f t="shared" si="0"/>
        <v>2046</v>
      </c>
      <c r="C33" s="20" t="str">
        <f>IF(A33&lt;=input!$F$3, "False", IF(AND(A33&gt;input!$F$3,A33&lt;=(input!$F$3+input!$C$5)), "True", ""))</f>
        <v>True</v>
      </c>
      <c r="D33" s="26">
        <f>IF(A33="","",IF(C33="False",FV(input!$C$10,A33,-input!$F$16,,input!$C$7),G32))</f>
        <v>1666666.666666667</v>
      </c>
      <c r="E33" s="26">
        <f>IF(Table1[[#This Row],[Period]]="","",Table1[[#This Row],[Balance]]*profit_rate)</f>
        <v>50000.000000000007</v>
      </c>
      <c r="F33" s="26">
        <f>IF(A33="","",IF(A33&gt;=input!$F$3, input!$F$12,0))</f>
        <v>50000</v>
      </c>
      <c r="G33" s="26">
        <f>IF(F33="","",D33-F33+Table1[[#This Row],[Interest]])</f>
        <v>1666666.666666667</v>
      </c>
    </row>
    <row r="34" spans="1:7" x14ac:dyDescent="0.25">
      <c r="A34" s="20">
        <f>IF(A33="","",IF(A33+2&gt;input!$F$3+input!$C$5, "", A33+1))</f>
        <v>31</v>
      </c>
      <c r="B34" s="20">
        <f t="shared" si="0"/>
        <v>2047</v>
      </c>
      <c r="C34" s="20" t="str">
        <f>IF(A34&lt;=input!$F$3, "False", IF(AND(A34&gt;input!$F$3,A34&lt;=(input!$F$3+input!$C$5)), "True", ""))</f>
        <v>True</v>
      </c>
      <c r="D34" s="26">
        <f>IF(A34="","",IF(C34="False",FV(input!$C$10,A34,-input!$F$16,,input!$C$7),G33))</f>
        <v>1666666.666666667</v>
      </c>
      <c r="E34" s="26">
        <f>IF(Table1[[#This Row],[Period]]="","",Table1[[#This Row],[Balance]]*profit_rate)</f>
        <v>50000.000000000007</v>
      </c>
      <c r="F34" s="26">
        <f>IF(A34="","",IF(A34&gt;=input!$F$3, input!$F$12,0))</f>
        <v>50000</v>
      </c>
      <c r="G34" s="26">
        <f>IF(F34="","",D34-F34+Table1[[#This Row],[Interest]])</f>
        <v>1666666.666666667</v>
      </c>
    </row>
    <row r="35" spans="1:7" x14ac:dyDescent="0.25">
      <c r="A35" s="20">
        <f>IF(A34="","",IF(A34+2&gt;input!$F$3+input!$C$5, "", A34+1))</f>
        <v>32</v>
      </c>
      <c r="B35" s="20">
        <f t="shared" ref="B35:B66" si="1">IF(A35="","",starting_year+(A35-1))</f>
        <v>2048</v>
      </c>
      <c r="C35" s="20" t="str">
        <f>IF(A35&lt;=input!$F$3, "False", IF(AND(A35&gt;input!$F$3,A35&lt;=(input!$F$3+input!$C$5)), "True", ""))</f>
        <v>True</v>
      </c>
      <c r="D35" s="26">
        <f>IF(A35="","",IF(C35="False",FV(input!$C$10,A35,-input!$F$16,,input!$C$7),G34))</f>
        <v>1666666.666666667</v>
      </c>
      <c r="E35" s="26">
        <f>IF(Table1[[#This Row],[Period]]="","",Table1[[#This Row],[Balance]]*profit_rate)</f>
        <v>50000.000000000007</v>
      </c>
      <c r="F35" s="26">
        <f>IF(A35="","",IF(A35&gt;=input!$F$3, input!$F$12,0))</f>
        <v>50000</v>
      </c>
      <c r="G35" s="26">
        <f>IF(F35="","",D35-F35+Table1[[#This Row],[Interest]])</f>
        <v>1666666.666666667</v>
      </c>
    </row>
    <row r="36" spans="1:7" x14ac:dyDescent="0.25">
      <c r="A36" s="20">
        <f>IF(A35="","",IF(A35+2&gt;input!$F$3+input!$C$5, "", A35+1))</f>
        <v>33</v>
      </c>
      <c r="B36" s="20">
        <f t="shared" si="1"/>
        <v>2049</v>
      </c>
      <c r="C36" s="20" t="str">
        <f>IF(A36&lt;=input!$F$3, "False", IF(AND(A36&gt;input!$F$3,A36&lt;=(input!$F$3+input!$C$5)), "True", ""))</f>
        <v>True</v>
      </c>
      <c r="D36" s="26">
        <f>IF(A36="","",IF(C36="False",FV(input!$C$10,A36,-input!$F$16,,input!$C$7),G35))</f>
        <v>1666666.666666667</v>
      </c>
      <c r="E36" s="26">
        <f>IF(Table1[[#This Row],[Period]]="","",Table1[[#This Row],[Balance]]*profit_rate)</f>
        <v>50000.000000000007</v>
      </c>
      <c r="F36" s="26">
        <f>IF(A36="","",IF(A36&gt;=input!$F$3, input!$F$12,0))</f>
        <v>50000</v>
      </c>
      <c r="G36" s="26">
        <f>IF(F36="","",D36-F36+Table1[[#This Row],[Interest]])</f>
        <v>1666666.666666667</v>
      </c>
    </row>
    <row r="37" spans="1:7" x14ac:dyDescent="0.25">
      <c r="A37" s="20">
        <f>IF(A36="","",IF(A36+2&gt;input!$F$3+input!$C$5, "", A36+1))</f>
        <v>34</v>
      </c>
      <c r="B37" s="20">
        <f t="shared" si="1"/>
        <v>2050</v>
      </c>
      <c r="C37" s="20" t="str">
        <f>IF(A37&lt;=input!$F$3, "False", IF(AND(A37&gt;input!$F$3,A37&lt;=(input!$F$3+input!$C$5)), "True", ""))</f>
        <v>True</v>
      </c>
      <c r="D37" s="26">
        <f>IF(A37="","",IF(C37="False",FV(input!$C$10,A37,-input!$F$16,,input!$C$7),G36))</f>
        <v>1666666.666666667</v>
      </c>
      <c r="E37" s="26">
        <f>IF(Table1[[#This Row],[Period]]="","",Table1[[#This Row],[Balance]]*profit_rate)</f>
        <v>50000.000000000007</v>
      </c>
      <c r="F37" s="26">
        <f>IF(A37="","",IF(A37&gt;=input!$F$3, input!$F$12,0))</f>
        <v>50000</v>
      </c>
      <c r="G37" s="26">
        <f>IF(F37="","",D37-F37+Table1[[#This Row],[Interest]])</f>
        <v>1666666.666666667</v>
      </c>
    </row>
    <row r="38" spans="1:7" x14ac:dyDescent="0.25">
      <c r="A38" s="20">
        <f>IF(A37="","",IF(A37+2&gt;input!$F$3+input!$C$5, "", A37+1))</f>
        <v>35</v>
      </c>
      <c r="B38" s="20">
        <f t="shared" si="1"/>
        <v>2051</v>
      </c>
      <c r="C38" s="20" t="str">
        <f>IF(A38&lt;=input!$F$3, "False", IF(AND(A38&gt;input!$F$3,A38&lt;=(input!$F$3+input!$C$5)), "True", ""))</f>
        <v>True</v>
      </c>
      <c r="D38" s="26">
        <f>IF(A38="","",IF(C38="False",FV(input!$C$10,A38,-input!$F$16,,input!$C$7),G37))</f>
        <v>1666666.666666667</v>
      </c>
      <c r="E38" s="26">
        <f>IF(Table1[[#This Row],[Period]]="","",Table1[[#This Row],[Balance]]*profit_rate)</f>
        <v>50000.000000000007</v>
      </c>
      <c r="F38" s="26">
        <f>IF(A38="","",IF(A38&gt;=input!$F$3, input!$F$12,0))</f>
        <v>50000</v>
      </c>
      <c r="G38" s="26">
        <f>IF(F38="","",D38-F38+Table1[[#This Row],[Interest]])</f>
        <v>1666666.666666667</v>
      </c>
    </row>
    <row r="39" spans="1:7" x14ac:dyDescent="0.25">
      <c r="A39" s="20">
        <f>IF(A38="","",IF(A38+2&gt;input!$F$3+input!$C$5, "", A38+1))</f>
        <v>36</v>
      </c>
      <c r="B39" s="20">
        <f t="shared" si="1"/>
        <v>2052</v>
      </c>
      <c r="C39" s="20" t="str">
        <f>IF(A39&lt;=input!$F$3, "False", IF(AND(A39&gt;input!$F$3,A39&lt;=(input!$F$3+input!$C$5)), "True", ""))</f>
        <v>True</v>
      </c>
      <c r="D39" s="26">
        <f>IF(A39="","",IF(C39="False",FV(input!$C$10,A39,-input!$F$16,,input!$C$7),G38))</f>
        <v>1666666.666666667</v>
      </c>
      <c r="E39" s="26">
        <f>IF(Table1[[#This Row],[Period]]="","",Table1[[#This Row],[Balance]]*profit_rate)</f>
        <v>50000.000000000007</v>
      </c>
      <c r="F39" s="26">
        <f>IF(A39="","",IF(A39&gt;=input!$F$3, input!$F$12,0))</f>
        <v>50000</v>
      </c>
      <c r="G39" s="26">
        <f>IF(F39="","",D39-F39+Table1[[#This Row],[Interest]])</f>
        <v>1666666.666666667</v>
      </c>
    </row>
    <row r="40" spans="1:7" x14ac:dyDescent="0.25">
      <c r="A40" s="20">
        <f>IF(A39="","",IF(A39+2&gt;input!$F$3+input!$C$5, "", A39+1))</f>
        <v>37</v>
      </c>
      <c r="B40" s="20">
        <f t="shared" si="1"/>
        <v>2053</v>
      </c>
      <c r="C40" s="20" t="str">
        <f>IF(A40&lt;=input!$F$3, "False", IF(AND(A40&gt;input!$F$3,A40&lt;=(input!$F$3+input!$C$5)), "True", ""))</f>
        <v>True</v>
      </c>
      <c r="D40" s="26">
        <f>IF(A40="","",IF(C40="False",FV(input!$C$10,A40,-input!$F$16,,input!$C$7),G39))</f>
        <v>1666666.666666667</v>
      </c>
      <c r="E40" s="26">
        <f>IF(Table1[[#This Row],[Period]]="","",Table1[[#This Row],[Balance]]*profit_rate)</f>
        <v>50000.000000000007</v>
      </c>
      <c r="F40" s="26">
        <f>IF(A40="","",IF(A40&gt;=input!$F$3, input!$F$12,0))</f>
        <v>50000</v>
      </c>
      <c r="G40" s="26">
        <f>IF(F40="","",D40-F40+Table1[[#This Row],[Interest]])</f>
        <v>1666666.666666667</v>
      </c>
    </row>
    <row r="41" spans="1:7" x14ac:dyDescent="0.25">
      <c r="A41" s="20">
        <f>IF(A40="","",IF(A40+2&gt;input!$F$3+input!$C$5, "", A40+1))</f>
        <v>38</v>
      </c>
      <c r="B41" s="20">
        <f t="shared" si="1"/>
        <v>2054</v>
      </c>
      <c r="C41" s="20" t="str">
        <f>IF(A41&lt;=input!$F$3, "False", IF(AND(A41&gt;input!$F$3,A41&lt;=(input!$F$3+input!$C$5)), "True", ""))</f>
        <v>True</v>
      </c>
      <c r="D41" s="26">
        <f>IF(A41="","",IF(C41="False",FV(input!$C$10,A41,-input!$F$16,,input!$C$7),G40))</f>
        <v>1666666.666666667</v>
      </c>
      <c r="E41" s="26">
        <f>IF(Table1[[#This Row],[Period]]="","",Table1[[#This Row],[Balance]]*profit_rate)</f>
        <v>50000.000000000007</v>
      </c>
      <c r="F41" s="26">
        <f>IF(A41="","",IF(A41&gt;=input!$F$3, input!$F$12,0))</f>
        <v>50000</v>
      </c>
      <c r="G41" s="26">
        <f>IF(F41="","",D41-F41+Table1[[#This Row],[Interest]])</f>
        <v>1666666.666666667</v>
      </c>
    </row>
    <row r="42" spans="1:7" x14ac:dyDescent="0.25">
      <c r="A42" s="20">
        <f>IF(A41="","",IF(A41+2&gt;input!$F$3+input!$C$5, "", A41+1))</f>
        <v>39</v>
      </c>
      <c r="B42" s="20">
        <f t="shared" si="1"/>
        <v>2055</v>
      </c>
      <c r="C42" s="20" t="str">
        <f>IF(A42&lt;=input!$F$3, "False", IF(AND(A42&gt;input!$F$3,A42&lt;=(input!$F$3+input!$C$5)), "True", ""))</f>
        <v>True</v>
      </c>
      <c r="D42" s="26">
        <f>IF(A42="","",IF(C42="False",FV(input!$C$10,A42,-input!$F$16,,input!$C$7),G41))</f>
        <v>1666666.666666667</v>
      </c>
      <c r="E42" s="26">
        <f>IF(Table1[[#This Row],[Period]]="","",Table1[[#This Row],[Balance]]*profit_rate)</f>
        <v>50000.000000000007</v>
      </c>
      <c r="F42" s="26">
        <f>IF(A42="","",IF(A42&gt;=input!$F$3, input!$F$12,0))</f>
        <v>50000</v>
      </c>
      <c r="G42" s="26">
        <f>IF(F42="","",D42-F42+Table1[[#This Row],[Interest]])</f>
        <v>1666666.666666667</v>
      </c>
    </row>
    <row r="43" spans="1:7" hidden="1" x14ac:dyDescent="0.25">
      <c r="A43" s="20" t="str">
        <f>IF(A42="","",IF(A42+2&gt;input!$F$3+input!$C$5, "", A42+1))</f>
        <v/>
      </c>
      <c r="B43" s="20" t="str">
        <f t="shared" si="1"/>
        <v/>
      </c>
      <c r="C43" s="20" t="str">
        <f>IF(A43&lt;=input!$F$3, "False", IF(AND(A43&gt;input!$F$3,A43&lt;=(input!$F$3+input!$C$5)), "True", ""))</f>
        <v/>
      </c>
      <c r="D43" s="26" t="str">
        <f>IF(A43="","",IF(C43="False",FV(input!$C$10,A43,-input!$F$16,,input!$C$7),G42))</f>
        <v/>
      </c>
      <c r="E43" s="26" t="str">
        <f>IF(Table1[[#This Row],[Period]]="","",Table1[[#This Row],[Balance]]*profit_rate)</f>
        <v/>
      </c>
      <c r="F43" s="26" t="str">
        <f>IF(A43="","",IF(A43&gt;=input!$F$3, input!$F$12,0))</f>
        <v/>
      </c>
      <c r="G43" s="26" t="str">
        <f>IF(F43="","",D43-F43+Table1[[#This Row],[Interest]])</f>
        <v/>
      </c>
    </row>
    <row r="44" spans="1:7" hidden="1" x14ac:dyDescent="0.25">
      <c r="A44" s="20" t="str">
        <f>IF(A43="","",IF(A43+2&gt;input!$F$3+input!$C$5, "", A43+1))</f>
        <v/>
      </c>
      <c r="B44" s="20" t="str">
        <f t="shared" si="1"/>
        <v/>
      </c>
      <c r="C44" s="20" t="str">
        <f>IF(A44&lt;=input!$F$3, "False", IF(AND(A44&gt;input!$F$3,A44&lt;=(input!$F$3+input!$C$5)), "True", ""))</f>
        <v/>
      </c>
      <c r="D44" s="26" t="str">
        <f>IF(A44="","",IF(C44="False",FV(input!$C$10,A44,-input!$F$16,,input!$C$7),G43))</f>
        <v/>
      </c>
      <c r="E44" s="26" t="str">
        <f>IF(Table1[[#This Row],[Period]]="","",Table1[[#This Row],[Balance]]*profit_rate)</f>
        <v/>
      </c>
      <c r="F44" s="26" t="str">
        <f>IF(A44="","",IF(A44&gt;=input!$F$3, input!$F$12,0))</f>
        <v/>
      </c>
      <c r="G44" s="26" t="str">
        <f>IF(F44="","",D44-F44+Table1[[#This Row],[Interest]])</f>
        <v/>
      </c>
    </row>
    <row r="45" spans="1:7" hidden="1" x14ac:dyDescent="0.25">
      <c r="A45" s="20" t="str">
        <f>IF(A44="","",IF(A44+2&gt;input!$F$3+input!$C$5, "", A44+1))</f>
        <v/>
      </c>
      <c r="B45" s="20" t="str">
        <f t="shared" si="1"/>
        <v/>
      </c>
      <c r="C45" s="20" t="str">
        <f>IF(A45&lt;=input!$F$3, "False", IF(AND(A45&gt;input!$F$3,A45&lt;=(input!$F$3+input!$C$5)), "True", ""))</f>
        <v/>
      </c>
      <c r="D45" s="26" t="str">
        <f>IF(A45="","",IF(C45="False",FV(input!$C$10,A45,-input!$F$16,,input!$C$7),G44))</f>
        <v/>
      </c>
      <c r="E45" s="26" t="str">
        <f>IF(Table1[[#This Row],[Period]]="","",Table1[[#This Row],[Balance]]*profit_rate)</f>
        <v/>
      </c>
      <c r="F45" s="26" t="str">
        <f>IF(A45="","",IF(A45&gt;=input!$F$3, input!$F$12,0))</f>
        <v/>
      </c>
      <c r="G45" s="26" t="str">
        <f>IF(F45="","",D45-F45+Table1[[#This Row],[Interest]])</f>
        <v/>
      </c>
    </row>
    <row r="46" spans="1:7" hidden="1" x14ac:dyDescent="0.25">
      <c r="A46" s="20" t="str">
        <f>IF(A45="","",IF(A45+2&gt;input!$F$3+input!$C$5, "", A45+1))</f>
        <v/>
      </c>
      <c r="B46" s="20" t="str">
        <f t="shared" si="1"/>
        <v/>
      </c>
      <c r="C46" s="20" t="str">
        <f>IF(A46&lt;=input!$F$3, "False", IF(AND(A46&gt;input!$F$3,A46&lt;=(input!$F$3+input!$C$5)), "True", ""))</f>
        <v/>
      </c>
      <c r="D46" s="26" t="str">
        <f>IF(A46="","",IF(C46="False",FV(input!$C$10,A46,-input!$F$16,,input!$C$7),G45))</f>
        <v/>
      </c>
      <c r="E46" s="26" t="str">
        <f>IF(Table1[[#This Row],[Period]]="","",Table1[[#This Row],[Balance]]*profit_rate)</f>
        <v/>
      </c>
      <c r="F46" s="26" t="str">
        <f>IF(A46="","",IF(A46&gt;=input!$F$3, input!$F$12,0))</f>
        <v/>
      </c>
      <c r="G46" s="26" t="str">
        <f>IF(F46="","",D46-F46+Table1[[#This Row],[Interest]])</f>
        <v/>
      </c>
    </row>
    <row r="47" spans="1:7" hidden="1" x14ac:dyDescent="0.25">
      <c r="A47" s="20" t="str">
        <f>IF(A46="","",IF(A46+2&gt;input!$F$3+input!$C$5, "", A46+1))</f>
        <v/>
      </c>
      <c r="B47" s="20" t="str">
        <f t="shared" si="1"/>
        <v/>
      </c>
      <c r="C47" s="20" t="str">
        <f>IF(A47&lt;=input!$F$3, "False", IF(AND(A47&gt;input!$F$3,A47&lt;=(input!$F$3+input!$C$5)), "True", ""))</f>
        <v/>
      </c>
      <c r="D47" s="26" t="str">
        <f>IF(A47="","",IF(C47="False",FV(input!$C$10,A47,-input!$F$16,,input!$C$7),G46))</f>
        <v/>
      </c>
      <c r="E47" s="26" t="str">
        <f>IF(Table1[[#This Row],[Period]]="","",Table1[[#This Row],[Balance]]*profit_rate)</f>
        <v/>
      </c>
      <c r="F47" s="26" t="str">
        <f>IF(A47="","",IF(A47&gt;=input!$F$3, input!$F$12,0))</f>
        <v/>
      </c>
      <c r="G47" s="26" t="str">
        <f>IF(F47="","",D47-F47+Table1[[#This Row],[Interest]])</f>
        <v/>
      </c>
    </row>
    <row r="48" spans="1:7" hidden="1" x14ac:dyDescent="0.25">
      <c r="A48" s="20" t="str">
        <f>IF(A47="","",IF(A47+2&gt;input!$F$3+input!$C$5, "", A47+1))</f>
        <v/>
      </c>
      <c r="B48" s="20" t="str">
        <f t="shared" si="1"/>
        <v/>
      </c>
      <c r="C48" s="20" t="str">
        <f>IF(A48&lt;=input!$F$3, "False", IF(AND(A48&gt;input!$F$3,A48&lt;=(input!$F$3+input!$C$5)), "True", ""))</f>
        <v/>
      </c>
      <c r="D48" s="26" t="str">
        <f>IF(A48="","",IF(C48="False",FV(input!$C$10,A48,-input!$F$16,,input!$C$7),G47))</f>
        <v/>
      </c>
      <c r="E48" s="26" t="str">
        <f>IF(Table1[[#This Row],[Period]]="","",Table1[[#This Row],[Balance]]*profit_rate)</f>
        <v/>
      </c>
      <c r="F48" s="26" t="str">
        <f>IF(A48="","",IF(A48&gt;=input!$F$3, input!$F$12,0))</f>
        <v/>
      </c>
      <c r="G48" s="26" t="str">
        <f>IF(F48="","",D48-F48+Table1[[#This Row],[Interest]])</f>
        <v/>
      </c>
    </row>
    <row r="49" spans="1:7" hidden="1" x14ac:dyDescent="0.25">
      <c r="A49" s="20" t="str">
        <f>IF(A48="","",IF(A48+2&gt;input!$F$3+input!$C$5, "", A48+1))</f>
        <v/>
      </c>
      <c r="B49" s="20" t="str">
        <f t="shared" si="1"/>
        <v/>
      </c>
      <c r="C49" s="20" t="str">
        <f>IF(A49&lt;=input!$F$3, "False", IF(AND(A49&gt;input!$F$3,A49&lt;=(input!$F$3+input!$C$5)), "True", ""))</f>
        <v/>
      </c>
      <c r="D49" s="26" t="str">
        <f>IF(A49="","",IF(C49="False",FV(input!$C$10,A49,-input!$F$16,,input!$C$7),G48))</f>
        <v/>
      </c>
      <c r="E49" s="26" t="str">
        <f>IF(Table1[[#This Row],[Period]]="","",Table1[[#This Row],[Balance]]*profit_rate)</f>
        <v/>
      </c>
      <c r="F49" s="26" t="str">
        <f>IF(A49="","",IF(A49&gt;=input!$F$3, input!$F$12,0))</f>
        <v/>
      </c>
      <c r="G49" s="26" t="str">
        <f>IF(F49="","",D49-F49+Table1[[#This Row],[Interest]])</f>
        <v/>
      </c>
    </row>
    <row r="50" spans="1:7" hidden="1" x14ac:dyDescent="0.25">
      <c r="A50" s="20" t="str">
        <f>IF(A49="","",IF(A49+2&gt;input!$F$3+input!$C$5, "", A49+1))</f>
        <v/>
      </c>
      <c r="B50" s="20" t="str">
        <f t="shared" si="1"/>
        <v/>
      </c>
      <c r="C50" s="20" t="str">
        <f>IF(A50&lt;=input!$F$3, "False", IF(AND(A50&gt;input!$F$3,A50&lt;=(input!$F$3+input!$C$5)), "True", ""))</f>
        <v/>
      </c>
      <c r="D50" s="26" t="str">
        <f>IF(A50="","",IF(C50="False",FV(input!$C$10,A50,-input!$F$16,,input!$C$7),G49))</f>
        <v/>
      </c>
      <c r="E50" s="26" t="str">
        <f>IF(Table1[[#This Row],[Period]]="","",Table1[[#This Row],[Balance]]*profit_rate)</f>
        <v/>
      </c>
      <c r="F50" s="26" t="str">
        <f>IF(A50="","",IF(A50&gt;=input!$F$3, input!$F$12,0))</f>
        <v/>
      </c>
      <c r="G50" s="26" t="str">
        <f>IF(F50="","",D50-F50+Table1[[#This Row],[Interest]])</f>
        <v/>
      </c>
    </row>
    <row r="51" spans="1:7" hidden="1" x14ac:dyDescent="0.25">
      <c r="A51" s="20" t="str">
        <f>IF(A50="","",IF(A50+2&gt;input!$F$3+input!$C$5, "", A50+1))</f>
        <v/>
      </c>
      <c r="B51" s="20" t="str">
        <f t="shared" si="1"/>
        <v/>
      </c>
      <c r="C51" s="20" t="str">
        <f>IF(A51&lt;=input!$F$3, "False", IF(AND(A51&gt;input!$F$3,A51&lt;=(input!$F$3+input!$C$5)), "True", ""))</f>
        <v/>
      </c>
      <c r="D51" s="26" t="str">
        <f>IF(A51="","",IF(C51="False",FV(input!$C$10,A51,-input!$F$16,,input!$C$7),G50))</f>
        <v/>
      </c>
      <c r="E51" s="26" t="str">
        <f>IF(Table1[[#This Row],[Period]]="","",Table1[[#This Row],[Balance]]*profit_rate)</f>
        <v/>
      </c>
      <c r="F51" s="26" t="str">
        <f>IF(A51="","",IF(A51&gt;=input!$F$3, input!$F$12,0))</f>
        <v/>
      </c>
      <c r="G51" s="26" t="str">
        <f>IF(F51="","",D51-F51+Table1[[#This Row],[Interest]])</f>
        <v/>
      </c>
    </row>
    <row r="52" spans="1:7" hidden="1" x14ac:dyDescent="0.25">
      <c r="A52" s="20" t="str">
        <f>IF(A51="","",IF(A51+2&gt;input!$F$3+input!$C$5, "", A51+1))</f>
        <v/>
      </c>
      <c r="B52" s="20" t="str">
        <f t="shared" si="1"/>
        <v/>
      </c>
      <c r="C52" s="20" t="str">
        <f>IF(A52&lt;=input!$F$3, "False", IF(AND(A52&gt;input!$F$3,A52&lt;=(input!$F$3+input!$C$5)), "True", ""))</f>
        <v/>
      </c>
      <c r="D52" s="26" t="str">
        <f>IF(A52="","",IF(C52="False",FV(input!$C$10,A52,-input!$F$16,,input!$C$7),G51))</f>
        <v/>
      </c>
      <c r="E52" s="26" t="str">
        <f>IF(Table1[[#This Row],[Period]]="","",Table1[[#This Row],[Balance]]*profit_rate)</f>
        <v/>
      </c>
      <c r="F52" s="26" t="str">
        <f>IF(A52="","",IF(A52&gt;=input!$F$3, input!$F$12,0))</f>
        <v/>
      </c>
      <c r="G52" s="26" t="str">
        <f>IF(F52="","",D52-F52+Table1[[#This Row],[Interest]])</f>
        <v/>
      </c>
    </row>
    <row r="53" spans="1:7" hidden="1" x14ac:dyDescent="0.25">
      <c r="A53" s="20" t="str">
        <f>IF(A52="","",IF(A52+2&gt;input!$F$3+input!$C$5, "", A52+1))</f>
        <v/>
      </c>
      <c r="B53" s="20" t="str">
        <f t="shared" si="1"/>
        <v/>
      </c>
      <c r="C53" s="20" t="str">
        <f>IF(A53&lt;=input!$F$3, "False", IF(AND(A53&gt;input!$F$3,A53&lt;=(input!$F$3+input!$C$5)), "True", ""))</f>
        <v/>
      </c>
      <c r="D53" s="26" t="str">
        <f>IF(A53="","",IF(C53="False",FV(input!$C$10,A53,-input!$F$16,,input!$C$7),G52))</f>
        <v/>
      </c>
      <c r="E53" s="26" t="str">
        <f>IF(Table1[[#This Row],[Period]]="","",Table1[[#This Row],[Balance]]*profit_rate)</f>
        <v/>
      </c>
      <c r="F53" s="26" t="str">
        <f>IF(A53="","",IF(A53&gt;=input!$F$3, input!$F$12,0))</f>
        <v/>
      </c>
      <c r="G53" s="26" t="str">
        <f>IF(F53="","",D53-F53+Table1[[#This Row],[Interest]])</f>
        <v/>
      </c>
    </row>
    <row r="54" spans="1:7" hidden="1" x14ac:dyDescent="0.25">
      <c r="A54" s="20" t="str">
        <f>IF(A53="","",IF(A53+2&gt;input!$F$3+input!$C$5, "", A53+1))</f>
        <v/>
      </c>
      <c r="B54" s="20" t="str">
        <f t="shared" si="1"/>
        <v/>
      </c>
      <c r="C54" s="20" t="str">
        <f>IF(A54&lt;=input!$F$3, "False", IF(AND(A54&gt;input!$F$3,A54&lt;=(input!$F$3+input!$C$5)), "True", ""))</f>
        <v/>
      </c>
      <c r="D54" s="26" t="str">
        <f>IF(A54="","",IF(C54="False",FV(input!$C$10,A54,-input!$F$16,,input!$C$7),G53))</f>
        <v/>
      </c>
      <c r="E54" s="26" t="str">
        <f>IF(Table1[[#This Row],[Period]]="","",Table1[[#This Row],[Balance]]*profit_rate)</f>
        <v/>
      </c>
      <c r="F54" s="26" t="str">
        <f>IF(A54="","",IF(A54&gt;=input!$F$3, input!$F$12,0))</f>
        <v/>
      </c>
      <c r="G54" s="26" t="str">
        <f>IF(F54="","",D54-F54+Table1[[#This Row],[Interest]])</f>
        <v/>
      </c>
    </row>
    <row r="55" spans="1:7" hidden="1" x14ac:dyDescent="0.25">
      <c r="A55" s="20" t="str">
        <f>IF(A54="","",IF(A54+2&gt;input!$F$3+input!$C$5, "", A54+1))</f>
        <v/>
      </c>
      <c r="B55" s="20" t="str">
        <f t="shared" si="1"/>
        <v/>
      </c>
      <c r="C55" s="20" t="str">
        <f>IF(A55&lt;=input!$F$3, "False", IF(AND(A55&gt;input!$F$3,A55&lt;=(input!$F$3+input!$C$5)), "True", ""))</f>
        <v/>
      </c>
      <c r="D55" s="26" t="str">
        <f>IF(A55="","",IF(C55="False",FV(input!$C$10,A55,-input!$F$16,,input!$C$7),G54))</f>
        <v/>
      </c>
      <c r="E55" s="26" t="str">
        <f>IF(Table1[[#This Row],[Period]]="","",Table1[[#This Row],[Balance]]*profit_rate)</f>
        <v/>
      </c>
      <c r="F55" s="26" t="str">
        <f>IF(A55="","",IF(A55&gt;=input!$F$3, input!$F$12,0))</f>
        <v/>
      </c>
      <c r="G55" s="26" t="str">
        <f>IF(F55="","",D55-F55+Table1[[#This Row],[Interest]])</f>
        <v/>
      </c>
    </row>
    <row r="56" spans="1:7" hidden="1" x14ac:dyDescent="0.25">
      <c r="A56" s="20" t="str">
        <f>IF(A55="","",IF(A55+2&gt;input!$F$3+input!$C$5, "", A55+1))</f>
        <v/>
      </c>
      <c r="B56" s="20" t="str">
        <f t="shared" si="1"/>
        <v/>
      </c>
      <c r="C56" s="20" t="str">
        <f>IF(A56&lt;=input!$F$3, "False", IF(AND(A56&gt;input!$F$3,A56&lt;=(input!$F$3+input!$C$5)), "True", ""))</f>
        <v/>
      </c>
      <c r="D56" s="26" t="str">
        <f>IF(A56="","",IF(C56="False",FV(input!$C$10,A56,-input!$F$16,,input!$C$7),G55))</f>
        <v/>
      </c>
      <c r="E56" s="26" t="str">
        <f>IF(Table1[[#This Row],[Period]]="","",Table1[[#This Row],[Balance]]*profit_rate)</f>
        <v/>
      </c>
      <c r="F56" s="26" t="str">
        <f>IF(A56="","",IF(A56&gt;=input!$F$3, input!$F$12,0))</f>
        <v/>
      </c>
      <c r="G56" s="26" t="str">
        <f>IF(F56="","",D56-F56+Table1[[#This Row],[Interest]])</f>
        <v/>
      </c>
    </row>
    <row r="57" spans="1:7" hidden="1" x14ac:dyDescent="0.25">
      <c r="A57" s="20" t="str">
        <f>IF(A56="","",IF(A56+2&gt;input!$F$3+input!$C$5, "", A56+1))</f>
        <v/>
      </c>
      <c r="B57" s="20" t="str">
        <f t="shared" si="1"/>
        <v/>
      </c>
      <c r="C57" s="20" t="str">
        <f>IF(A57&lt;=input!$F$3, "False", IF(AND(A57&gt;input!$F$3,A57&lt;=(input!$F$3+input!$C$5)), "True", ""))</f>
        <v/>
      </c>
      <c r="D57" s="26" t="str">
        <f>IF(A57="","",IF(C57="False",FV(input!$C$10,A57,-input!$F$16,,input!$C$7),G56))</f>
        <v/>
      </c>
      <c r="E57" s="26" t="str">
        <f>IF(Table1[[#This Row],[Period]]="","",Table1[[#This Row],[Balance]]*profit_rate)</f>
        <v/>
      </c>
      <c r="F57" s="26" t="str">
        <f>IF(A57="","",IF(A57&gt;=input!$F$3, input!$F$12,0))</f>
        <v/>
      </c>
      <c r="G57" s="26" t="str">
        <f>IF(F57="","",D57-F57+Table1[[#This Row],[Interest]])</f>
        <v/>
      </c>
    </row>
    <row r="58" spans="1:7" hidden="1" x14ac:dyDescent="0.25">
      <c r="A58" s="20" t="str">
        <f>IF(A57="","",IF(A57+2&gt;input!$F$3+input!$C$5, "", A57+1))</f>
        <v/>
      </c>
      <c r="B58" s="20" t="str">
        <f t="shared" si="1"/>
        <v/>
      </c>
      <c r="C58" s="20" t="str">
        <f>IF(A58&lt;=input!$F$3, "False", IF(AND(A58&gt;input!$F$3,A58&lt;=(input!$F$3+input!$C$5)), "True", ""))</f>
        <v/>
      </c>
      <c r="D58" s="26" t="str">
        <f>IF(A58="","",IF(C58="False",FV(input!$C$10,A58,-input!$F$16,,input!$C$7),G57))</f>
        <v/>
      </c>
      <c r="E58" s="26" t="str">
        <f>IF(Table1[[#This Row],[Period]]="","",Table1[[#This Row],[Balance]]*profit_rate)</f>
        <v/>
      </c>
      <c r="F58" s="26" t="str">
        <f>IF(A58="","",IF(A58&gt;=input!$F$3, input!$F$12,0))</f>
        <v/>
      </c>
      <c r="G58" s="26" t="str">
        <f>IF(F58="","",D58-F58+Table1[[#This Row],[Interest]])</f>
        <v/>
      </c>
    </row>
    <row r="59" spans="1:7" hidden="1" x14ac:dyDescent="0.25">
      <c r="A59" s="20" t="str">
        <f>IF(A58="","",IF(A58+2&gt;input!$F$3+input!$C$5, "", A58+1))</f>
        <v/>
      </c>
      <c r="B59" s="20" t="str">
        <f t="shared" si="1"/>
        <v/>
      </c>
      <c r="C59" s="20" t="str">
        <f>IF(A59&lt;=input!$F$3, "False", IF(AND(A59&gt;input!$F$3,A59&lt;=(input!$F$3+input!$C$5)), "True", ""))</f>
        <v/>
      </c>
      <c r="D59" s="26" t="str">
        <f>IF(A59="","",IF(C59="False",FV(input!$C$10,A59,-input!$F$16,,input!$C$7),G58))</f>
        <v/>
      </c>
      <c r="E59" s="26" t="str">
        <f>IF(Table1[[#This Row],[Period]]="","",Table1[[#This Row],[Balance]]*profit_rate)</f>
        <v/>
      </c>
      <c r="F59" s="26" t="str">
        <f>IF(A59="","",IF(A59&gt;=input!$F$3, input!$F$12,0))</f>
        <v/>
      </c>
      <c r="G59" s="26" t="str">
        <f>IF(F59="","",D59-F59+Table1[[#This Row],[Interest]])</f>
        <v/>
      </c>
    </row>
    <row r="60" spans="1:7" hidden="1" x14ac:dyDescent="0.25">
      <c r="A60" s="20" t="str">
        <f>IF(A59="","",IF(A59+2&gt;input!$F$3+input!$C$5, "", A59+1))</f>
        <v/>
      </c>
      <c r="B60" s="20" t="str">
        <f t="shared" si="1"/>
        <v/>
      </c>
      <c r="C60" s="20" t="str">
        <f>IF(A60&lt;=input!$F$3, "False", IF(AND(A60&gt;input!$F$3,A60&lt;=(input!$F$3+input!$C$5)), "True", ""))</f>
        <v/>
      </c>
      <c r="D60" s="26" t="str">
        <f>IF(A60="","",IF(C60="False",FV(input!$C$10,A60,-input!$F$16,,input!$C$7),G59))</f>
        <v/>
      </c>
      <c r="E60" s="26" t="str">
        <f>IF(Table1[[#This Row],[Period]]="","",Table1[[#This Row],[Balance]]*profit_rate)</f>
        <v/>
      </c>
      <c r="F60" s="26" t="str">
        <f>IF(A60="","",IF(A60&gt;=input!$F$3, input!$F$12,0))</f>
        <v/>
      </c>
      <c r="G60" s="26" t="str">
        <f>IF(F60="","",D60-F60+Table1[[#This Row],[Interest]])</f>
        <v/>
      </c>
    </row>
    <row r="61" spans="1:7" hidden="1" x14ac:dyDescent="0.25">
      <c r="A61" s="20" t="str">
        <f>IF(A60="","",IF(A60+2&gt;input!$F$3+input!$C$5, "", A60+1))</f>
        <v/>
      </c>
      <c r="B61" s="20" t="str">
        <f t="shared" si="1"/>
        <v/>
      </c>
      <c r="C61" s="20" t="str">
        <f>IF(A61&lt;=input!$F$3, "False", IF(AND(A61&gt;input!$F$3,A61&lt;=(input!$F$3+input!$C$5)), "True", ""))</f>
        <v/>
      </c>
      <c r="D61" s="26" t="str">
        <f>IF(A61="","",IF(C61="False",FV(input!$C$10,A61,-input!$F$16,,input!$C$7),G60))</f>
        <v/>
      </c>
      <c r="E61" s="26" t="str">
        <f>IF(Table1[[#This Row],[Period]]="","",Table1[[#This Row],[Balance]]*profit_rate)</f>
        <v/>
      </c>
      <c r="F61" s="26" t="str">
        <f>IF(A61="","",IF(A61&gt;=input!$F$3, input!$F$12,0))</f>
        <v/>
      </c>
      <c r="G61" s="26" t="str">
        <f>IF(F61="","",D61-F61+Table1[[#This Row],[Interest]])</f>
        <v/>
      </c>
    </row>
    <row r="62" spans="1:7" hidden="1" x14ac:dyDescent="0.25">
      <c r="A62" s="20" t="str">
        <f>IF(A61="","",IF(A61+2&gt;input!$F$3+input!$C$5, "", A61+1))</f>
        <v/>
      </c>
      <c r="B62" s="20" t="str">
        <f t="shared" si="1"/>
        <v/>
      </c>
      <c r="C62" s="20" t="str">
        <f>IF(A62&lt;=input!$F$3, "False", IF(AND(A62&gt;input!$F$3,A62&lt;=(input!$F$3+input!$C$5)), "True", ""))</f>
        <v/>
      </c>
      <c r="D62" s="26" t="str">
        <f>IF(A62="","",IF(C62="False",FV(input!$C$10,A62,-input!$F$16,,input!$C$7),G61))</f>
        <v/>
      </c>
      <c r="E62" s="26" t="str">
        <f>IF(Table1[[#This Row],[Period]]="","",Table1[[#This Row],[Balance]]*profit_rate)</f>
        <v/>
      </c>
      <c r="F62" s="26" t="str">
        <f>IF(A62="","",IF(A62&gt;=input!$F$3, input!$F$12,0))</f>
        <v/>
      </c>
      <c r="G62" s="26" t="str">
        <f>IF(F62="","",D62-F62+Table1[[#This Row],[Interest]])</f>
        <v/>
      </c>
    </row>
    <row r="63" spans="1:7" hidden="1" x14ac:dyDescent="0.25">
      <c r="A63" s="20" t="str">
        <f>IF(A62="","",IF(A62+2&gt;input!$F$3+input!$C$5, "", A62+1))</f>
        <v/>
      </c>
      <c r="B63" s="20" t="str">
        <f t="shared" si="1"/>
        <v/>
      </c>
      <c r="C63" s="20" t="str">
        <f>IF(A63&lt;=input!$F$3, "False", IF(AND(A63&gt;input!$F$3,A63&lt;=(input!$F$3+input!$C$5)), "True", ""))</f>
        <v/>
      </c>
      <c r="D63" s="26" t="str">
        <f>IF(A63="","",IF(C63="False",FV(input!$C$10,A63,-input!$F$16,,input!$C$7),G62))</f>
        <v/>
      </c>
      <c r="E63" s="26" t="str">
        <f>IF(Table1[[#This Row],[Period]]="","",Table1[[#This Row],[Balance]]*profit_rate)</f>
        <v/>
      </c>
      <c r="F63" s="26" t="str">
        <f>IF(A63="","",IF(A63&gt;=input!$F$3, input!$F$12,0))</f>
        <v/>
      </c>
      <c r="G63" s="26" t="str">
        <f>IF(F63="","",D63-F63+Table1[[#This Row],[Interest]])</f>
        <v/>
      </c>
    </row>
    <row r="64" spans="1:7" hidden="1" x14ac:dyDescent="0.25">
      <c r="A64" s="20" t="str">
        <f>IF(A63="","",IF(A63+2&gt;input!$F$3+input!$C$5, "", A63+1))</f>
        <v/>
      </c>
      <c r="B64" s="20" t="str">
        <f t="shared" si="1"/>
        <v/>
      </c>
      <c r="C64" s="20" t="str">
        <f>IF(A64&lt;=input!$F$3, "False", IF(AND(A64&gt;input!$F$3,A64&lt;=(input!$F$3+input!$C$5)), "True", ""))</f>
        <v/>
      </c>
      <c r="D64" s="26" t="str">
        <f>IF(A64="","",IF(C64="False",FV(input!$C$10,A64,-input!$F$16,,input!$C$7),G63))</f>
        <v/>
      </c>
      <c r="E64" s="26" t="str">
        <f>IF(Table1[[#This Row],[Period]]="","",Table1[[#This Row],[Balance]]*profit_rate)</f>
        <v/>
      </c>
      <c r="F64" s="26" t="str">
        <f>IF(A64="","",IF(A64&gt;=input!$F$3, input!$F$12,0))</f>
        <v/>
      </c>
      <c r="G64" s="26" t="str">
        <f>IF(F64="","",D64-F64+Table1[[#This Row],[Interest]])</f>
        <v/>
      </c>
    </row>
    <row r="65" spans="1:7" hidden="1" x14ac:dyDescent="0.25">
      <c r="A65" s="20" t="str">
        <f>IF(A64="","",IF(A64+2&gt;input!$F$3+input!$C$5, "", A64+1))</f>
        <v/>
      </c>
      <c r="B65" s="20" t="str">
        <f t="shared" si="1"/>
        <v/>
      </c>
      <c r="C65" s="20" t="str">
        <f>IF(A65&lt;=input!$F$3, "False", IF(AND(A65&gt;input!$F$3,A65&lt;=(input!$F$3+input!$C$5)), "True", ""))</f>
        <v/>
      </c>
      <c r="D65" s="26" t="str">
        <f>IF(A65="","",IF(C65="False",FV(input!$C$10,A65,-input!$F$16,,input!$C$7),G64))</f>
        <v/>
      </c>
      <c r="E65" s="26" t="str">
        <f>IF(Table1[[#This Row],[Period]]="","",Table1[[#This Row],[Balance]]*profit_rate)</f>
        <v/>
      </c>
      <c r="F65" s="26" t="str">
        <f>IF(A65="","",IF(A65&gt;=input!$F$3, input!$F$12,0))</f>
        <v/>
      </c>
      <c r="G65" s="26" t="str">
        <f>IF(F65="","",D65-F65+Table1[[#This Row],[Interest]])</f>
        <v/>
      </c>
    </row>
    <row r="66" spans="1:7" hidden="1" x14ac:dyDescent="0.25">
      <c r="A66" s="20" t="str">
        <f>IF(A65="","",IF(A65+2&gt;input!$F$3+input!$C$5, "", A65+1))</f>
        <v/>
      </c>
      <c r="B66" s="20" t="str">
        <f t="shared" si="1"/>
        <v/>
      </c>
      <c r="C66" s="20" t="str">
        <f>IF(A66&lt;=input!$F$3, "False", IF(AND(A66&gt;input!$F$3,A66&lt;=(input!$F$3+input!$C$5)), "True", ""))</f>
        <v/>
      </c>
      <c r="D66" s="26" t="str">
        <f>IF(A66="","",IF(C66="False",FV(input!$C$10,A66,-input!$F$16,,input!$C$7),G65))</f>
        <v/>
      </c>
      <c r="E66" s="26" t="str">
        <f>IF(Table1[[#This Row],[Period]]="","",Table1[[#This Row],[Balance]]*profit_rate)</f>
        <v/>
      </c>
      <c r="F66" s="26" t="str">
        <f>IF(A66="","",IF(A66&gt;=input!$F$3, input!$F$12,0))</f>
        <v/>
      </c>
      <c r="G66" s="26" t="str">
        <f>IF(F66="","",D66-F66+Table1[[#This Row],[Interest]])</f>
        <v/>
      </c>
    </row>
    <row r="67" spans="1:7" hidden="1" x14ac:dyDescent="0.25">
      <c r="A67" s="20" t="str">
        <f>IF(A66="","",IF(A66+2&gt;input!$F$3+input!$C$5, "", A66+1))</f>
        <v/>
      </c>
      <c r="B67" s="20" t="str">
        <f t="shared" ref="B67:B98" si="2">IF(A67="","",starting_year+(A67-1))</f>
        <v/>
      </c>
      <c r="C67" s="20" t="str">
        <f>IF(A67&lt;=input!$F$3, "False", IF(AND(A67&gt;input!$F$3,A67&lt;=(input!$F$3+input!$C$5)), "True", ""))</f>
        <v/>
      </c>
      <c r="D67" s="26" t="str">
        <f>IF(A67="","",IF(C67="False",FV(input!$C$10,A67,-input!$F$16,,input!$C$7),G66))</f>
        <v/>
      </c>
      <c r="E67" s="26" t="str">
        <f>IF(Table1[[#This Row],[Period]]="","",Table1[[#This Row],[Balance]]*profit_rate)</f>
        <v/>
      </c>
      <c r="F67" s="26" t="str">
        <f>IF(A67="","",IF(A67&gt;=input!$F$3, input!$F$12,0))</f>
        <v/>
      </c>
      <c r="G67" s="26" t="str">
        <f>IF(F67="","",D67-F67+Table1[[#This Row],[Interest]])</f>
        <v/>
      </c>
    </row>
    <row r="68" spans="1:7" hidden="1" x14ac:dyDescent="0.25">
      <c r="A68" s="20" t="str">
        <f>IF(A67="","",IF(A67+2&gt;input!$F$3+input!$C$5, "", A67+1))</f>
        <v/>
      </c>
      <c r="B68" s="20" t="str">
        <f t="shared" si="2"/>
        <v/>
      </c>
      <c r="C68" s="20" t="str">
        <f>IF(A68&lt;=input!$F$3, "False", IF(AND(A68&gt;input!$F$3,A68&lt;=(input!$F$3+input!$C$5)), "True", ""))</f>
        <v/>
      </c>
      <c r="D68" s="26" t="str">
        <f>IF(A68="","",IF(C68="False",FV(input!$C$10,A68,-input!$F$16,,input!$C$7),G67))</f>
        <v/>
      </c>
      <c r="E68" s="26" t="str">
        <f>IF(Table1[[#This Row],[Period]]="","",Table1[[#This Row],[Balance]]*profit_rate)</f>
        <v/>
      </c>
      <c r="F68" s="26" t="str">
        <f>IF(A68="","",IF(A68&gt;=input!$F$3, input!$F$12,0))</f>
        <v/>
      </c>
      <c r="G68" s="26" t="str">
        <f>IF(F68="","",D68-F68+Table1[[#This Row],[Interest]])</f>
        <v/>
      </c>
    </row>
    <row r="69" spans="1:7" hidden="1" x14ac:dyDescent="0.25">
      <c r="A69" s="20" t="str">
        <f>IF(A68="","",IF(A68+2&gt;input!$F$3+input!$C$5, "", A68+1))</f>
        <v/>
      </c>
      <c r="B69" s="20" t="str">
        <f t="shared" si="2"/>
        <v/>
      </c>
      <c r="C69" s="20" t="str">
        <f>IF(A69&lt;=input!$F$3, "False", IF(AND(A69&gt;input!$F$3,A69&lt;=(input!$F$3+input!$C$5)), "True", ""))</f>
        <v/>
      </c>
      <c r="D69" s="26" t="str">
        <f>IF(A69="","",IF(C69="False",FV(input!$C$10,A69,-input!$F$16,,input!$C$7),G68))</f>
        <v/>
      </c>
      <c r="E69" s="26" t="str">
        <f>IF(Table1[[#This Row],[Period]]="","",Table1[[#This Row],[Balance]]*profit_rate)</f>
        <v/>
      </c>
      <c r="F69" s="26" t="str">
        <f>IF(A69="","",IF(A69&gt;=input!$F$3, input!$F$12,0))</f>
        <v/>
      </c>
      <c r="G69" s="26" t="str">
        <f>IF(F69="","",D69-F69+Table1[[#This Row],[Interest]])</f>
        <v/>
      </c>
    </row>
    <row r="70" spans="1:7" hidden="1" x14ac:dyDescent="0.25">
      <c r="A70" s="20" t="str">
        <f>IF(A69="","",IF(A69+2&gt;input!$F$3+input!$C$5, "", A69+1))</f>
        <v/>
      </c>
      <c r="B70" s="20" t="str">
        <f t="shared" si="2"/>
        <v/>
      </c>
      <c r="C70" s="20" t="str">
        <f>IF(A70&lt;=input!$F$3, "False", IF(AND(A70&gt;input!$F$3,A70&lt;=(input!$F$3+input!$C$5)), "True", ""))</f>
        <v/>
      </c>
      <c r="D70" s="26" t="str">
        <f>IF(A70="","",IF(C70="False",FV(input!$C$10,A70,-input!$F$16,,input!$C$7),G69))</f>
        <v/>
      </c>
      <c r="E70" s="26" t="str">
        <f>IF(Table1[[#This Row],[Period]]="","",Table1[[#This Row],[Balance]]*profit_rate)</f>
        <v/>
      </c>
      <c r="F70" s="26" t="str">
        <f>IF(A70="","",IF(A70&gt;=input!$F$3, input!$F$12,0))</f>
        <v/>
      </c>
      <c r="G70" s="26" t="str">
        <f>IF(F70="","",D70-F70+Table1[[#This Row],[Interest]])</f>
        <v/>
      </c>
    </row>
    <row r="71" spans="1:7" hidden="1" x14ac:dyDescent="0.25">
      <c r="A71" s="20" t="str">
        <f>IF(A70="","",IF(A70+2&gt;input!$F$3+input!$C$5, "", A70+1))</f>
        <v/>
      </c>
      <c r="B71" s="20" t="str">
        <f t="shared" si="2"/>
        <v/>
      </c>
      <c r="C71" s="20" t="str">
        <f>IF(A71&lt;=input!$F$3, "False", IF(AND(A71&gt;input!$F$3,A71&lt;=(input!$F$3+input!$C$5)), "True", ""))</f>
        <v/>
      </c>
      <c r="D71" s="26" t="str">
        <f>IF(A71="","",IF(C71="False",FV(input!$C$10,A71,-input!$F$16,,input!$C$7),G70))</f>
        <v/>
      </c>
      <c r="E71" s="26" t="str">
        <f>IF(Table1[[#This Row],[Period]]="","",Table1[[#This Row],[Balance]]*profit_rate)</f>
        <v/>
      </c>
      <c r="F71" s="26" t="str">
        <f>IF(A71="","",IF(A71&gt;=input!$F$3, input!$F$12,0))</f>
        <v/>
      </c>
      <c r="G71" s="26" t="str">
        <f>IF(F71="","",D71-F71+Table1[[#This Row],[Interest]])</f>
        <v/>
      </c>
    </row>
    <row r="72" spans="1:7" hidden="1" x14ac:dyDescent="0.25">
      <c r="A72" s="20" t="str">
        <f>IF(A71="","",IF(A71+2&gt;input!$F$3+input!$C$5, "", A71+1))</f>
        <v/>
      </c>
      <c r="B72" s="20" t="str">
        <f t="shared" si="2"/>
        <v/>
      </c>
      <c r="C72" s="20" t="str">
        <f>IF(A72&lt;=input!$F$3, "False", IF(AND(A72&gt;input!$F$3,A72&lt;=(input!$F$3+input!$C$5)), "True", ""))</f>
        <v/>
      </c>
      <c r="D72" s="26" t="str">
        <f>IF(A72="","",IF(C72="False",FV(input!$C$10,A72,-input!$F$16,,input!$C$7),G71))</f>
        <v/>
      </c>
      <c r="E72" s="26" t="str">
        <f>IF(Table1[[#This Row],[Period]]="","",Table1[[#This Row],[Balance]]*profit_rate)</f>
        <v/>
      </c>
      <c r="F72" s="26" t="str">
        <f>IF(A72="","",IF(A72&gt;=input!$F$3, input!$F$12,0))</f>
        <v/>
      </c>
      <c r="G72" s="26" t="str">
        <f>IF(F72="","",D72-F72+Table1[[#This Row],[Interest]])</f>
        <v/>
      </c>
    </row>
    <row r="73" spans="1:7" hidden="1" x14ac:dyDescent="0.25">
      <c r="A73" s="20" t="str">
        <f>IF(A72="","",IF(A72+2&gt;input!$F$3+input!$C$5, "", A72+1))</f>
        <v/>
      </c>
      <c r="B73" s="20" t="str">
        <f t="shared" si="2"/>
        <v/>
      </c>
      <c r="C73" s="20" t="str">
        <f>IF(A73&lt;=input!$F$3, "False", IF(AND(A73&gt;input!$F$3,A73&lt;=(input!$F$3+input!$C$5)), "True", ""))</f>
        <v/>
      </c>
      <c r="D73" s="26" t="str">
        <f>IF(A73="","",IF(C73="False",FV(input!$C$10,A73,-input!$F$16,,input!$C$7),G72))</f>
        <v/>
      </c>
      <c r="E73" s="26" t="str">
        <f>IF(Table1[[#This Row],[Period]]="","",Table1[[#This Row],[Balance]]*profit_rate)</f>
        <v/>
      </c>
      <c r="F73" s="26" t="str">
        <f>IF(A73="","",IF(A73&gt;=input!$F$3, input!$F$12,0))</f>
        <v/>
      </c>
      <c r="G73" s="26" t="str">
        <f>IF(F73="","",D73-F73+Table1[[#This Row],[Interest]])</f>
        <v/>
      </c>
    </row>
    <row r="74" spans="1:7" hidden="1" x14ac:dyDescent="0.25">
      <c r="A74" s="20" t="str">
        <f>IF(A73="","",IF(A73+2&gt;input!$F$3+input!$C$5, "", A73+1))</f>
        <v/>
      </c>
      <c r="B74" s="20" t="str">
        <f t="shared" si="2"/>
        <v/>
      </c>
      <c r="C74" s="20" t="str">
        <f>IF(A74&lt;=input!$F$3, "False", IF(AND(A74&gt;input!$F$3,A74&lt;=(input!$F$3+input!$C$5)), "True", ""))</f>
        <v/>
      </c>
      <c r="D74" s="26" t="str">
        <f>IF(A74="","",IF(C74="False",FV(input!$C$10,A74,-input!$F$16,,input!$C$7),G73))</f>
        <v/>
      </c>
      <c r="E74" s="26" t="str">
        <f>IF(Table1[[#This Row],[Period]]="","",Table1[[#This Row],[Balance]]*profit_rate)</f>
        <v/>
      </c>
      <c r="F74" s="26" t="str">
        <f>IF(A74="","",IF(A74&gt;=input!$F$3, input!$F$12,0))</f>
        <v/>
      </c>
      <c r="G74" s="26" t="str">
        <f>IF(F74="","",D74-F74+Table1[[#This Row],[Interest]])</f>
        <v/>
      </c>
    </row>
    <row r="75" spans="1:7" hidden="1" x14ac:dyDescent="0.25">
      <c r="A75" s="20" t="str">
        <f>IF(A74="","",IF(A74+2&gt;input!$F$3+input!$C$5, "", A74+1))</f>
        <v/>
      </c>
      <c r="B75" s="20" t="str">
        <f t="shared" si="2"/>
        <v/>
      </c>
      <c r="C75" s="20" t="str">
        <f>IF(A75&lt;=input!$F$3, "False", IF(AND(A75&gt;input!$F$3,A75&lt;=(input!$F$3+input!$C$5)), "True", ""))</f>
        <v/>
      </c>
      <c r="D75" s="26" t="str">
        <f>IF(A75="","",IF(C75="False",FV(input!$C$10,A75,-input!$F$16,,input!$C$7),G74))</f>
        <v/>
      </c>
      <c r="E75" s="26" t="str">
        <f>IF(Table1[[#This Row],[Period]]="","",Table1[[#This Row],[Balance]]*profit_rate)</f>
        <v/>
      </c>
      <c r="F75" s="26" t="str">
        <f>IF(A75="","",IF(A75&gt;=input!$F$3, input!$F$12,0))</f>
        <v/>
      </c>
      <c r="G75" s="26" t="str">
        <f>IF(F75="","",D75-F75+Table1[[#This Row],[Interest]])</f>
        <v/>
      </c>
    </row>
    <row r="76" spans="1:7" hidden="1" x14ac:dyDescent="0.25">
      <c r="A76" s="20" t="str">
        <f>IF(A75="","",IF(A75+2&gt;input!$F$3+input!$C$5, "", A75+1))</f>
        <v/>
      </c>
      <c r="B76" s="20" t="str">
        <f t="shared" si="2"/>
        <v/>
      </c>
      <c r="C76" s="20" t="str">
        <f>IF(A76&lt;=input!$F$3, "False", IF(AND(A76&gt;input!$F$3,A76&lt;=(input!$F$3+input!$C$5)), "True", ""))</f>
        <v/>
      </c>
      <c r="D76" s="26" t="str">
        <f>IF(A76="","",IF(C76="False",FV(input!$C$10,A76,-input!$F$16,,input!$C$7),G75))</f>
        <v/>
      </c>
      <c r="E76" s="26" t="str">
        <f>IF(Table1[[#This Row],[Period]]="","",Table1[[#This Row],[Balance]]*profit_rate)</f>
        <v/>
      </c>
      <c r="F76" s="26" t="str">
        <f>IF(A76="","",IF(A76&gt;=input!$F$3, input!$F$12,0))</f>
        <v/>
      </c>
      <c r="G76" s="26" t="str">
        <f>IF(F76="","",D76-F76+Table1[[#This Row],[Interest]])</f>
        <v/>
      </c>
    </row>
    <row r="77" spans="1:7" hidden="1" x14ac:dyDescent="0.25">
      <c r="A77" s="20" t="str">
        <f>IF(A76="","",IF(A76+2&gt;input!$F$3+input!$C$5, "", A76+1))</f>
        <v/>
      </c>
      <c r="B77" s="20" t="str">
        <f t="shared" si="2"/>
        <v/>
      </c>
      <c r="C77" s="20" t="str">
        <f>IF(A77&lt;=input!$F$3, "False", IF(AND(A77&gt;input!$F$3,A77&lt;=(input!$F$3+input!$C$5)), "True", ""))</f>
        <v/>
      </c>
      <c r="D77" s="26" t="str">
        <f>IF(A77="","",IF(C77="False",FV(input!$C$10,A77,-input!$F$16,,input!$C$7),G76))</f>
        <v/>
      </c>
      <c r="E77" s="26" t="str">
        <f>IF(Table1[[#This Row],[Period]]="","",Table1[[#This Row],[Balance]]*profit_rate)</f>
        <v/>
      </c>
      <c r="F77" s="26" t="str">
        <f>IF(A77="","",IF(A77&gt;=input!$F$3, input!$F$12,0))</f>
        <v/>
      </c>
      <c r="G77" s="26" t="str">
        <f>IF(F77="","",D77-F77+Table1[[#This Row],[Interest]])</f>
        <v/>
      </c>
    </row>
    <row r="78" spans="1:7" hidden="1" x14ac:dyDescent="0.25">
      <c r="A78" s="20" t="str">
        <f>IF(A77="","",IF(A77+2&gt;input!$F$3+input!$C$5, "", A77+1))</f>
        <v/>
      </c>
      <c r="B78" s="20" t="str">
        <f t="shared" si="2"/>
        <v/>
      </c>
      <c r="C78" s="20" t="str">
        <f>IF(A78&lt;=input!$F$3, "False", IF(AND(A78&gt;input!$F$3,A78&lt;=(input!$F$3+input!$C$5)), "True", ""))</f>
        <v/>
      </c>
      <c r="D78" s="26" t="str">
        <f>IF(A78="","",IF(C78="False",FV(input!$C$10,A78,-input!$F$16,,input!$C$7),G77))</f>
        <v/>
      </c>
      <c r="E78" s="26" t="str">
        <f>IF(Table1[[#This Row],[Period]]="","",Table1[[#This Row],[Balance]]*profit_rate)</f>
        <v/>
      </c>
      <c r="F78" s="26" t="str">
        <f>IF(A78="","",IF(A78&gt;=input!$F$3, input!$F$12,0))</f>
        <v/>
      </c>
      <c r="G78" s="26" t="str">
        <f>IF(F78="","",D78-F78+Table1[[#This Row],[Interest]])</f>
        <v/>
      </c>
    </row>
    <row r="79" spans="1:7" hidden="1" x14ac:dyDescent="0.25">
      <c r="A79" s="20" t="str">
        <f>IF(A78="","",IF(A78+2&gt;input!$F$3+input!$C$5, "", A78+1))</f>
        <v/>
      </c>
      <c r="B79" s="20" t="str">
        <f t="shared" si="2"/>
        <v/>
      </c>
      <c r="C79" s="20" t="str">
        <f>IF(A79&lt;=input!$F$3, "False", IF(AND(A79&gt;input!$F$3,A79&lt;=(input!$F$3+input!$C$5)), "True", ""))</f>
        <v/>
      </c>
      <c r="D79" s="26" t="str">
        <f>IF(A79="","",IF(C79="False",FV(input!$C$10,A79,-input!$F$16,,input!$C$7),G78))</f>
        <v/>
      </c>
      <c r="E79" s="26" t="str">
        <f>IF(Table1[[#This Row],[Period]]="","",Table1[[#This Row],[Balance]]*profit_rate)</f>
        <v/>
      </c>
      <c r="F79" s="26" t="str">
        <f>IF(A79="","",IF(A79&gt;=input!$F$3, input!$F$12,0))</f>
        <v/>
      </c>
      <c r="G79" s="26" t="str">
        <f>IF(F79="","",D79-F79+Table1[[#This Row],[Interest]])</f>
        <v/>
      </c>
    </row>
    <row r="80" spans="1:7" hidden="1" x14ac:dyDescent="0.25">
      <c r="A80" s="20" t="str">
        <f>IF(A79="","",IF(A79+2&gt;input!$F$3+input!$C$5, "", A79+1))</f>
        <v/>
      </c>
      <c r="B80" s="20" t="str">
        <f t="shared" si="2"/>
        <v/>
      </c>
      <c r="C80" s="20" t="str">
        <f>IF(A80&lt;=input!$F$3, "False", IF(AND(A80&gt;input!$F$3,A80&lt;=(input!$F$3+input!$C$5)), "True", ""))</f>
        <v/>
      </c>
      <c r="D80" s="26" t="str">
        <f>IF(A80="","",IF(C80="False",FV(input!$C$10,A80,-input!$F$16,,input!$C$7),G79))</f>
        <v/>
      </c>
      <c r="E80" s="26" t="str">
        <f>IF(Table1[[#This Row],[Period]]="","",Table1[[#This Row],[Balance]]*profit_rate)</f>
        <v/>
      </c>
      <c r="F80" s="26" t="str">
        <f>IF(A80="","",IF(A80&gt;=input!$F$3, input!$F$12,0))</f>
        <v/>
      </c>
      <c r="G80" s="26" t="str">
        <f>IF(F80="","",D80-F80+Table1[[#This Row],[Interest]])</f>
        <v/>
      </c>
    </row>
    <row r="81" spans="1:7" hidden="1" x14ac:dyDescent="0.25">
      <c r="A81" s="20" t="str">
        <f>IF(A80="","",IF(A80+2&gt;input!$F$3+input!$C$5, "", A80+1))</f>
        <v/>
      </c>
      <c r="B81" s="20" t="str">
        <f t="shared" si="2"/>
        <v/>
      </c>
      <c r="C81" s="20" t="str">
        <f>IF(A81&lt;=input!$F$3, "False", IF(AND(A81&gt;input!$F$3,A81&lt;=(input!$F$3+input!$C$5)), "True", ""))</f>
        <v/>
      </c>
      <c r="D81" s="26" t="str">
        <f>IF(A81="","",IF(C81="False",FV(input!$C$10,A81,-input!$F$16,,input!$C$7),G80))</f>
        <v/>
      </c>
      <c r="E81" s="26" t="str">
        <f>IF(Table1[[#This Row],[Period]]="","",Table1[[#This Row],[Balance]]*profit_rate)</f>
        <v/>
      </c>
      <c r="F81" s="26" t="str">
        <f>IF(A81="","",IF(A81&gt;=input!$F$3, input!$F$12,0))</f>
        <v/>
      </c>
      <c r="G81" s="26" t="str">
        <f>IF(F81="","",D81-F81+Table1[[#This Row],[Interest]])</f>
        <v/>
      </c>
    </row>
    <row r="82" spans="1:7" hidden="1" x14ac:dyDescent="0.25">
      <c r="A82" s="20" t="str">
        <f>IF(A81="","",IF(A81+2&gt;input!$F$3+input!$C$5, "", A81+1))</f>
        <v/>
      </c>
      <c r="B82" s="20" t="str">
        <f t="shared" si="2"/>
        <v/>
      </c>
      <c r="C82" s="20" t="str">
        <f>IF(A82&lt;=input!$F$3, "False", IF(AND(A82&gt;input!$F$3,A82&lt;=(input!$F$3+input!$C$5)), "True", ""))</f>
        <v/>
      </c>
      <c r="D82" s="26" t="str">
        <f>IF(A82="","",IF(C82="False",FV(input!$C$10,A82,-input!$F$16,,input!$C$7),G81))</f>
        <v/>
      </c>
      <c r="E82" s="26" t="str">
        <f>IF(Table1[[#This Row],[Period]]="","",Table1[[#This Row],[Balance]]*profit_rate)</f>
        <v/>
      </c>
      <c r="F82" s="26" t="str">
        <f>IF(A82="","",IF(A82&gt;=input!$F$3, input!$F$12,0))</f>
        <v/>
      </c>
      <c r="G82" s="26" t="str">
        <f>IF(F82="","",D82-F82+Table1[[#This Row],[Interest]])</f>
        <v/>
      </c>
    </row>
    <row r="83" spans="1:7" hidden="1" x14ac:dyDescent="0.25">
      <c r="A83" s="20" t="str">
        <f>IF(A82="","",IF(A82+2&gt;input!$F$3+input!$C$5, "", A82+1))</f>
        <v/>
      </c>
      <c r="B83" s="20" t="str">
        <f t="shared" si="2"/>
        <v/>
      </c>
      <c r="C83" s="20" t="str">
        <f>IF(A83&lt;=input!$F$3, "False", IF(AND(A83&gt;input!$F$3,A83&lt;=(input!$F$3+input!$C$5)), "True", ""))</f>
        <v/>
      </c>
      <c r="D83" s="26" t="str">
        <f>IF(A83="","",IF(C83="False",FV(input!$C$10,A83,-input!$F$16,,input!$C$7),G82))</f>
        <v/>
      </c>
      <c r="E83" s="26" t="str">
        <f>IF(Table1[[#This Row],[Period]]="","",Table1[[#This Row],[Balance]]*profit_rate)</f>
        <v/>
      </c>
      <c r="F83" s="26" t="str">
        <f>IF(A83="","",IF(A83&gt;=input!$F$3, input!$F$12,0))</f>
        <v/>
      </c>
      <c r="G83" s="26" t="str">
        <f>IF(F83="","",D83-F83+Table1[[#This Row],[Interest]])</f>
        <v/>
      </c>
    </row>
    <row r="84" spans="1:7" hidden="1" x14ac:dyDescent="0.25">
      <c r="A84" s="20" t="str">
        <f>IF(A83="","",IF(A83+2&gt;input!$F$3+input!$C$5, "", A83+1))</f>
        <v/>
      </c>
      <c r="B84" s="20" t="str">
        <f t="shared" si="2"/>
        <v/>
      </c>
      <c r="C84" s="20" t="str">
        <f>IF(A84&lt;=input!$F$3, "False", IF(AND(A84&gt;input!$F$3,A84&lt;=(input!$F$3+input!$C$5)), "True", ""))</f>
        <v/>
      </c>
      <c r="D84" s="26" t="str">
        <f>IF(A84="","",IF(C84="False",FV(input!$C$10,A84,-input!$F$16,,input!$C$7),G83))</f>
        <v/>
      </c>
      <c r="E84" s="26" t="str">
        <f>IF(Table1[[#This Row],[Period]]="","",Table1[[#This Row],[Balance]]*profit_rate)</f>
        <v/>
      </c>
      <c r="F84" s="26" t="str">
        <f>IF(A84="","",IF(A84&gt;=input!$F$3, input!$F$12,0))</f>
        <v/>
      </c>
      <c r="G84" s="26" t="str">
        <f>IF(F84="","",D84-F84+Table1[[#This Row],[Interest]])</f>
        <v/>
      </c>
    </row>
    <row r="85" spans="1:7" hidden="1" x14ac:dyDescent="0.25">
      <c r="A85" s="20" t="str">
        <f>IF(A84="","",IF(A84+2&gt;input!$F$3+input!$C$5, "", A84+1))</f>
        <v/>
      </c>
      <c r="B85" s="20" t="str">
        <f t="shared" si="2"/>
        <v/>
      </c>
      <c r="C85" s="20" t="str">
        <f>IF(A85&lt;=input!$F$3, "False", IF(AND(A85&gt;input!$F$3,A85&lt;=(input!$F$3+input!$C$5)), "True", ""))</f>
        <v/>
      </c>
      <c r="D85" s="26" t="str">
        <f>IF(A85="","",IF(C85="False",FV(input!$C$10,A85,-input!$F$16,,input!$C$7),G84))</f>
        <v/>
      </c>
      <c r="E85" s="26" t="str">
        <f>IF(Table1[[#This Row],[Period]]="","",Table1[[#This Row],[Balance]]*profit_rate)</f>
        <v/>
      </c>
      <c r="F85" s="26" t="str">
        <f>IF(A85="","",IF(A85&gt;=input!$F$3, input!$F$12,0))</f>
        <v/>
      </c>
      <c r="G85" s="26" t="str">
        <f>IF(F85="","",D85-F85+Table1[[#This Row],[Interest]])</f>
        <v/>
      </c>
    </row>
    <row r="86" spans="1:7" hidden="1" x14ac:dyDescent="0.25">
      <c r="A86" s="20" t="str">
        <f>IF(A85="","",IF(A85+2&gt;input!$F$3+input!$C$5, "", A85+1))</f>
        <v/>
      </c>
      <c r="B86" s="20" t="str">
        <f t="shared" si="2"/>
        <v/>
      </c>
      <c r="C86" s="20" t="str">
        <f>IF(A86&lt;=input!$F$3, "False", IF(AND(A86&gt;input!$F$3,A86&lt;=(input!$F$3+input!$C$5)), "True", ""))</f>
        <v/>
      </c>
      <c r="D86" s="26" t="str">
        <f>IF(A86="","",IF(C86="False",FV(input!$C$10,A86,-input!$F$16,,input!$C$7),G85))</f>
        <v/>
      </c>
      <c r="E86" s="26" t="str">
        <f>IF(Table1[[#This Row],[Period]]="","",Table1[[#This Row],[Balance]]*profit_rate)</f>
        <v/>
      </c>
      <c r="F86" s="26" t="str">
        <f>IF(A86="","",IF(A86&gt;=input!$F$3, input!$F$12,0))</f>
        <v/>
      </c>
      <c r="G86" s="26" t="str">
        <f>IF(F86="","",D86-F86+Table1[[#This Row],[Interest]])</f>
        <v/>
      </c>
    </row>
    <row r="87" spans="1:7" hidden="1" x14ac:dyDescent="0.25">
      <c r="A87" s="20" t="str">
        <f>IF(A86="","",IF(A86+2&gt;input!$F$3+input!$C$5, "", A86+1))</f>
        <v/>
      </c>
      <c r="B87" s="20" t="str">
        <f t="shared" si="2"/>
        <v/>
      </c>
      <c r="C87" s="20" t="str">
        <f>IF(A87&lt;=input!$F$3, "False", IF(AND(A87&gt;input!$F$3,A87&lt;=(input!$F$3+input!$C$5)), "True", ""))</f>
        <v/>
      </c>
      <c r="D87" s="26" t="str">
        <f>IF(A87="","",IF(C87="False",FV(input!$C$10,A87,-input!$F$16,,input!$C$7),G86))</f>
        <v/>
      </c>
      <c r="E87" s="26" t="str">
        <f>IF(Table1[[#This Row],[Period]]="","",Table1[[#This Row],[Balance]]*profit_rate)</f>
        <v/>
      </c>
      <c r="F87" s="26" t="str">
        <f>IF(A87="","",IF(A87&gt;=input!$F$3, input!$F$12,0))</f>
        <v/>
      </c>
      <c r="G87" s="26" t="str">
        <f>IF(F87="","",D87-F87+Table1[[#This Row],[Interest]])</f>
        <v/>
      </c>
    </row>
    <row r="88" spans="1:7" hidden="1" x14ac:dyDescent="0.25">
      <c r="A88" s="20" t="str">
        <f>IF(A87="","",IF(A87+2&gt;input!$F$3+input!$C$5, "", A87+1))</f>
        <v/>
      </c>
      <c r="B88" s="20" t="str">
        <f t="shared" si="2"/>
        <v/>
      </c>
      <c r="C88" s="20" t="str">
        <f>IF(A88&lt;=input!$F$3, "False", IF(AND(A88&gt;input!$F$3,A88&lt;=(input!$F$3+input!$C$5)), "True", ""))</f>
        <v/>
      </c>
      <c r="D88" s="26" t="str">
        <f>IF(A88="","",IF(C88="False",FV(input!$C$10,A88,-input!$F$16,,input!$C$7),G87))</f>
        <v/>
      </c>
      <c r="E88" s="26" t="str">
        <f>IF(Table1[[#This Row],[Period]]="","",Table1[[#This Row],[Balance]]*profit_rate)</f>
        <v/>
      </c>
      <c r="F88" s="26" t="str">
        <f>IF(A88="","",IF(A88&gt;=input!$F$3, input!$F$12,0))</f>
        <v/>
      </c>
      <c r="G88" s="26" t="str">
        <f>IF(F88="","",D88-F88+Table1[[#This Row],[Interest]])</f>
        <v/>
      </c>
    </row>
    <row r="89" spans="1:7" hidden="1" x14ac:dyDescent="0.25">
      <c r="A89" s="20" t="str">
        <f>IF(A88="","",IF(A88+2&gt;input!$F$3+input!$C$5, "", A88+1))</f>
        <v/>
      </c>
      <c r="B89" s="20" t="str">
        <f t="shared" si="2"/>
        <v/>
      </c>
      <c r="C89" s="20" t="str">
        <f>IF(A89&lt;=input!$F$3, "False", IF(AND(A89&gt;input!$F$3,A89&lt;=(input!$F$3+input!$C$5)), "True", ""))</f>
        <v/>
      </c>
      <c r="D89" s="26" t="str">
        <f>IF(A89="","",IF(C89="False",FV(input!$C$10,A89,-input!$F$16,,input!$C$7),G88))</f>
        <v/>
      </c>
      <c r="E89" s="26" t="str">
        <f>IF(Table1[[#This Row],[Period]]="","",Table1[[#This Row],[Balance]]*profit_rate)</f>
        <v/>
      </c>
      <c r="F89" s="26" t="str">
        <f>IF(A89="","",IF(A89&gt;=input!$F$3, input!$F$12,0))</f>
        <v/>
      </c>
      <c r="G89" s="26" t="str">
        <f>IF(F89="","",D89-F89+Table1[[#This Row],[Interest]])</f>
        <v/>
      </c>
    </row>
    <row r="90" spans="1:7" hidden="1" x14ac:dyDescent="0.25">
      <c r="A90" s="20" t="str">
        <f>IF(A89="","",IF(A89+2&gt;input!$F$3+input!$C$5, "", A89+1))</f>
        <v/>
      </c>
      <c r="B90" s="20" t="str">
        <f t="shared" si="2"/>
        <v/>
      </c>
      <c r="C90" s="20" t="str">
        <f>IF(A90&lt;=input!$F$3, "False", IF(AND(A90&gt;input!$F$3,A90&lt;=(input!$F$3+input!$C$5)), "True", ""))</f>
        <v/>
      </c>
      <c r="D90" s="26" t="str">
        <f>IF(A90="","",IF(C90="False",FV(input!$C$10,A90,-input!$F$16,,input!$C$7),G89))</f>
        <v/>
      </c>
      <c r="E90" s="26" t="str">
        <f>IF(Table1[[#This Row],[Period]]="","",Table1[[#This Row],[Balance]]*profit_rate)</f>
        <v/>
      </c>
      <c r="F90" s="26" t="str">
        <f>IF(A90="","",IF(A90&gt;=input!$F$3, input!$F$12,0))</f>
        <v/>
      </c>
      <c r="G90" s="26" t="str">
        <f>IF(F90="","",D90-F90+Table1[[#This Row],[Interest]])</f>
        <v/>
      </c>
    </row>
    <row r="91" spans="1:7" hidden="1" x14ac:dyDescent="0.25">
      <c r="A91" s="20" t="str">
        <f>IF(A90="","",IF(A90+2&gt;input!$F$3+input!$C$5, "", A90+1))</f>
        <v/>
      </c>
      <c r="B91" s="20" t="str">
        <f t="shared" si="2"/>
        <v/>
      </c>
      <c r="C91" s="20" t="str">
        <f>IF(A91&lt;=input!$F$3, "False", IF(AND(A91&gt;input!$F$3,A91&lt;=(input!$F$3+input!$C$5)), "True", ""))</f>
        <v/>
      </c>
      <c r="D91" s="26" t="str">
        <f>IF(A91="","",IF(C91="False",FV(input!$C$10,A91,-input!$F$16,,input!$C$7),G90))</f>
        <v/>
      </c>
      <c r="E91" s="26" t="str">
        <f>IF(Table1[[#This Row],[Period]]="","",Table1[[#This Row],[Balance]]*profit_rate)</f>
        <v/>
      </c>
      <c r="F91" s="26" t="str">
        <f>IF(A91="","",IF(A91&gt;=input!$F$3, input!$F$12,0))</f>
        <v/>
      </c>
      <c r="G91" s="26" t="str">
        <f>IF(F91="","",D91-F91+Table1[[#This Row],[Interest]])</f>
        <v/>
      </c>
    </row>
    <row r="92" spans="1:7" hidden="1" x14ac:dyDescent="0.25">
      <c r="A92" s="20" t="str">
        <f>IF(A91="","",IF(A91+2&gt;input!$F$3+input!$C$5, "", A91+1))</f>
        <v/>
      </c>
      <c r="B92" s="20" t="str">
        <f t="shared" si="2"/>
        <v/>
      </c>
      <c r="C92" s="20" t="str">
        <f>IF(A92&lt;=input!$F$3, "False", IF(AND(A92&gt;input!$F$3,A92&lt;=(input!$F$3+input!$C$5)), "True", ""))</f>
        <v/>
      </c>
      <c r="D92" s="26" t="str">
        <f>IF(A92="","",IF(C92="False",FV(input!$C$10,A92,-input!$F$16,,input!$C$7),G91))</f>
        <v/>
      </c>
      <c r="E92" s="26" t="str">
        <f>IF(Table1[[#This Row],[Period]]="","",Table1[[#This Row],[Balance]]*profit_rate)</f>
        <v/>
      </c>
      <c r="F92" s="26" t="str">
        <f>IF(A92="","",IF(A92&gt;=input!$F$3, input!$F$12,0))</f>
        <v/>
      </c>
      <c r="G92" s="26" t="str">
        <f>IF(F92="","",D92-F92+Table1[[#This Row],[Interest]])</f>
        <v/>
      </c>
    </row>
    <row r="93" spans="1:7" hidden="1" x14ac:dyDescent="0.25">
      <c r="A93" s="20" t="str">
        <f>IF(A92="","",IF(A92+2&gt;input!$F$3+input!$C$5, "", A92+1))</f>
        <v/>
      </c>
      <c r="B93" s="20" t="str">
        <f t="shared" si="2"/>
        <v/>
      </c>
      <c r="C93" s="20" t="str">
        <f>IF(A93&lt;=input!$F$3, "False", IF(AND(A93&gt;input!$F$3,A93&lt;=(input!$F$3+input!$C$5)), "True", ""))</f>
        <v/>
      </c>
      <c r="D93" s="26" t="str">
        <f>IF(A93="","",IF(C93="False",FV(input!$C$10,A93,-input!$F$16,,input!$C$7),G92))</f>
        <v/>
      </c>
      <c r="E93" s="26" t="str">
        <f>IF(Table1[[#This Row],[Period]]="","",Table1[[#This Row],[Balance]]*profit_rate)</f>
        <v/>
      </c>
      <c r="F93" s="26" t="str">
        <f>IF(A93="","",IF(A93&gt;=input!$F$3, input!$F$12,0))</f>
        <v/>
      </c>
      <c r="G93" s="26" t="str">
        <f>IF(F93="","",D93-F93+Table1[[#This Row],[Interest]])</f>
        <v/>
      </c>
    </row>
    <row r="94" spans="1:7" hidden="1" x14ac:dyDescent="0.25">
      <c r="A94" s="20" t="str">
        <f>IF(A93="","",IF(A93+2&gt;input!$F$3+input!$C$5, "", A93+1))</f>
        <v/>
      </c>
      <c r="B94" s="20" t="str">
        <f t="shared" si="2"/>
        <v/>
      </c>
      <c r="C94" s="20" t="str">
        <f>IF(A94&lt;=input!$F$3, "False", IF(AND(A94&gt;input!$F$3,A94&lt;=(input!$F$3+input!$C$5)), "True", ""))</f>
        <v/>
      </c>
      <c r="D94" s="26" t="str">
        <f>IF(A94="","",IF(C94="False",FV(input!$C$10,A94,-input!$F$16,,input!$C$7),G93))</f>
        <v/>
      </c>
      <c r="E94" s="26" t="str">
        <f>IF(Table1[[#This Row],[Period]]="","",Table1[[#This Row],[Balance]]*profit_rate)</f>
        <v/>
      </c>
      <c r="F94" s="26" t="str">
        <f>IF(A94="","",IF(A94&gt;=input!$F$3, input!$F$12,0))</f>
        <v/>
      </c>
      <c r="G94" s="26" t="str">
        <f>IF(F94="","",D94-F94+Table1[[#This Row],[Interest]])</f>
        <v/>
      </c>
    </row>
    <row r="95" spans="1:7" hidden="1" x14ac:dyDescent="0.25">
      <c r="A95" s="20" t="str">
        <f>IF(A94="","",IF(A94+2&gt;input!$F$3+input!$C$5, "", A94+1))</f>
        <v/>
      </c>
      <c r="B95" s="20" t="str">
        <f t="shared" si="2"/>
        <v/>
      </c>
      <c r="C95" s="20" t="str">
        <f>IF(A95&lt;=input!$F$3, "False", IF(AND(A95&gt;input!$F$3,A95&lt;=(input!$F$3+input!$C$5)), "True", ""))</f>
        <v/>
      </c>
      <c r="D95" s="26" t="str">
        <f>IF(A95="","",IF(C95="False",FV(input!$C$10,A95,-input!$F$16,,input!$C$7),G94))</f>
        <v/>
      </c>
      <c r="E95" s="26" t="str">
        <f>IF(Table1[[#This Row],[Period]]="","",Table1[[#This Row],[Balance]]*profit_rate)</f>
        <v/>
      </c>
      <c r="F95" s="26" t="str">
        <f>IF(A95="","",IF(A95&gt;=input!$F$3, input!$F$12,0))</f>
        <v/>
      </c>
      <c r="G95" s="26" t="str">
        <f>IF(F95="","",D95-F95+Table1[[#This Row],[Interest]])</f>
        <v/>
      </c>
    </row>
    <row r="96" spans="1:7" hidden="1" x14ac:dyDescent="0.25">
      <c r="A96" s="20" t="str">
        <f>IF(A95="","",IF(A95+2&gt;input!$F$3+input!$C$5, "", A95+1))</f>
        <v/>
      </c>
      <c r="B96" s="20" t="str">
        <f t="shared" si="2"/>
        <v/>
      </c>
      <c r="C96" s="20" t="str">
        <f>IF(A96&lt;=input!$F$3, "False", IF(AND(A96&gt;input!$F$3,A96&lt;=(input!$F$3+input!$C$5)), "True", ""))</f>
        <v/>
      </c>
      <c r="D96" s="26" t="str">
        <f>IF(A96="","",IF(C96="False",FV(input!$C$10,A96,-input!$F$16,,input!$C$7),G95))</f>
        <v/>
      </c>
      <c r="E96" s="26" t="str">
        <f>IF(Table1[[#This Row],[Period]]="","",Table1[[#This Row],[Balance]]*profit_rate)</f>
        <v/>
      </c>
      <c r="F96" s="26" t="str">
        <f>IF(A96="","",IF(A96&gt;=input!$F$3, input!$F$12,0))</f>
        <v/>
      </c>
      <c r="G96" s="26" t="str">
        <f>IF(F96="","",D96-F96+Table1[[#This Row],[Interest]])</f>
        <v/>
      </c>
    </row>
    <row r="97" spans="1:7" hidden="1" x14ac:dyDescent="0.25">
      <c r="A97" s="20" t="str">
        <f>IF(A96="","",IF(A96+2&gt;input!$F$3+input!$C$5, "", A96+1))</f>
        <v/>
      </c>
      <c r="B97" s="20" t="str">
        <f t="shared" si="2"/>
        <v/>
      </c>
      <c r="C97" s="20" t="str">
        <f>IF(A97&lt;=input!$F$3, "False", IF(AND(A97&gt;input!$F$3,A97&lt;=(input!$F$3+input!$C$5)), "True", ""))</f>
        <v/>
      </c>
      <c r="D97" s="26" t="str">
        <f>IF(A97="","",IF(C97="False",FV(input!$C$10,A97,-input!$F$16,,input!$C$7),G96))</f>
        <v/>
      </c>
      <c r="E97" s="26" t="str">
        <f>IF(Table1[[#This Row],[Period]]="","",Table1[[#This Row],[Balance]]*profit_rate)</f>
        <v/>
      </c>
      <c r="F97" s="26" t="str">
        <f>IF(A97="","",IF(A97&gt;=input!$F$3, input!$F$12,0))</f>
        <v/>
      </c>
      <c r="G97" s="26" t="str">
        <f>IF(F97="","",D97-F97+Table1[[#This Row],[Interest]])</f>
        <v/>
      </c>
    </row>
    <row r="98" spans="1:7" hidden="1" x14ac:dyDescent="0.25">
      <c r="A98" s="20" t="str">
        <f>IF(A97="","",IF(A97+2&gt;input!$F$3+input!$C$5, "", A97+1))</f>
        <v/>
      </c>
      <c r="B98" s="20" t="str">
        <f t="shared" si="2"/>
        <v/>
      </c>
      <c r="C98" s="20" t="str">
        <f>IF(A98&lt;=input!$F$3, "False", IF(AND(A98&gt;input!$F$3,A98&lt;=(input!$F$3+input!$C$5)), "True", ""))</f>
        <v/>
      </c>
      <c r="D98" s="26" t="str">
        <f>IF(A98="","",IF(C98="False",FV(input!$C$10,A98,-input!$F$16,,input!$C$7),G97))</f>
        <v/>
      </c>
      <c r="E98" s="26" t="str">
        <f>IF(Table1[[#This Row],[Period]]="","",Table1[[#This Row],[Balance]]*profit_rate)</f>
        <v/>
      </c>
      <c r="F98" s="26" t="str">
        <f>IF(A98="","",IF(A98&gt;=input!$F$3, input!$F$12,0))</f>
        <v/>
      </c>
      <c r="G98" s="26" t="str">
        <f>IF(F98="","",D98-F98+Table1[[#This Row],[Interest]])</f>
        <v/>
      </c>
    </row>
    <row r="99" spans="1:7" hidden="1" x14ac:dyDescent="0.25">
      <c r="A99" s="20" t="str">
        <f>IF(A98="","",IF(A98+2&gt;input!$F$3+input!$C$5, "", A98+1))</f>
        <v/>
      </c>
      <c r="B99" s="20" t="str">
        <f t="shared" ref="B99:B130" si="3">IF(A99="","",starting_year+(A99-1))</f>
        <v/>
      </c>
      <c r="C99" s="20" t="str">
        <f>IF(A99&lt;=input!$F$3, "False", IF(AND(A99&gt;input!$F$3,A99&lt;=(input!$F$3+input!$C$5)), "True", ""))</f>
        <v/>
      </c>
      <c r="D99" s="26" t="str">
        <f>IF(A99="","",IF(C99="False",FV(input!$C$10,A99,-input!$F$16,,input!$C$7),G98))</f>
        <v/>
      </c>
      <c r="E99" s="26" t="str">
        <f>IF(Table1[[#This Row],[Period]]="","",Table1[[#This Row],[Balance]]*profit_rate)</f>
        <v/>
      </c>
      <c r="F99" s="26" t="str">
        <f>IF(A99="","",IF(A99&gt;=input!$F$3, input!$F$12,0))</f>
        <v/>
      </c>
      <c r="G99" s="26" t="str">
        <f>IF(F99="","",D99-F99+Table1[[#This Row],[Interest]])</f>
        <v/>
      </c>
    </row>
    <row r="100" spans="1:7" hidden="1" x14ac:dyDescent="0.25">
      <c r="A100" s="20" t="str">
        <f>IF(A99="","",IF(A99+2&gt;input!$F$3+input!$C$5, "", A99+1))</f>
        <v/>
      </c>
      <c r="B100" s="20" t="str">
        <f t="shared" si="3"/>
        <v/>
      </c>
      <c r="C100" s="20" t="str">
        <f>IF(A100&lt;=input!$F$3, "False", IF(AND(A100&gt;input!$F$3,A100&lt;=(input!$F$3+input!$C$5)), "True", ""))</f>
        <v/>
      </c>
      <c r="D100" s="26" t="str">
        <f>IF(A100="","",IF(C100="False",FV(input!$C$10,A100,-input!$F$16,,input!$C$7),G99))</f>
        <v/>
      </c>
      <c r="E100" s="26" t="str">
        <f>IF(Table1[[#This Row],[Period]]="","",Table1[[#This Row],[Balance]]*profit_rate)</f>
        <v/>
      </c>
      <c r="F100" s="26" t="str">
        <f>IF(A100="","",IF(A100&gt;=input!$F$3, input!$F$12,0))</f>
        <v/>
      </c>
      <c r="G100" s="26" t="str">
        <f>IF(F100="","",D100-F100+Table1[[#This Row],[Interest]])</f>
        <v/>
      </c>
    </row>
    <row r="101" spans="1:7" hidden="1" x14ac:dyDescent="0.25">
      <c r="A101" s="20" t="str">
        <f>IF(A100="","",IF(A100+2&gt;input!$F$3+input!$C$5, "", A100+1))</f>
        <v/>
      </c>
      <c r="B101" s="20" t="str">
        <f t="shared" si="3"/>
        <v/>
      </c>
      <c r="C101" s="20" t="str">
        <f>IF(A101&lt;=input!$F$3, "False", IF(AND(A101&gt;input!$F$3,A101&lt;=(input!$F$3+input!$C$5)), "True", ""))</f>
        <v/>
      </c>
      <c r="D101" s="26" t="str">
        <f>IF(A101="","",IF(C101="False",FV(input!$C$10,A101,-input!$F$16,,input!$C$7),G100))</f>
        <v/>
      </c>
      <c r="E101" s="26" t="str">
        <f>IF(Table1[[#This Row],[Period]]="","",Table1[[#This Row],[Balance]]*profit_rate)</f>
        <v/>
      </c>
      <c r="F101" s="26" t="str">
        <f>IF(A101="","",IF(A101&gt;=input!$F$3, input!$F$12,0))</f>
        <v/>
      </c>
      <c r="G101" s="26" t="str">
        <f>IF(F101="","",D101-F101+Table1[[#This Row],[Interest]])</f>
        <v/>
      </c>
    </row>
    <row r="102" spans="1:7" hidden="1" x14ac:dyDescent="0.25">
      <c r="A102" s="20" t="str">
        <f>IF(A101="","",IF(A101+2&gt;input!$F$3+input!$C$5, "", A101+1))</f>
        <v/>
      </c>
      <c r="B102" s="20" t="str">
        <f t="shared" si="3"/>
        <v/>
      </c>
      <c r="C102" s="20" t="str">
        <f>IF(A102&lt;=input!$F$3, "False", IF(AND(A102&gt;input!$F$3,A102&lt;=(input!$F$3+input!$C$5)), "True", ""))</f>
        <v/>
      </c>
      <c r="D102" s="26" t="str">
        <f>IF(A102="","",IF(C102="False",FV(input!$C$10,A102,-input!$F$16,,input!$C$7),G101))</f>
        <v/>
      </c>
      <c r="E102" s="26" t="str">
        <f>IF(Table1[[#This Row],[Period]]="","",Table1[[#This Row],[Balance]]*profit_rate)</f>
        <v/>
      </c>
      <c r="F102" s="26" t="str">
        <f>IF(A102="","",IF(A102&gt;=input!$F$3, input!$F$12,0))</f>
        <v/>
      </c>
      <c r="G102" s="26" t="str">
        <f>IF(F102="","",D102-F102+Table1[[#This Row],[Interest]])</f>
        <v/>
      </c>
    </row>
    <row r="103" spans="1:7" hidden="1" x14ac:dyDescent="0.25">
      <c r="A103" s="20" t="str">
        <f>IF(A102="","",IF(A102+2&gt;input!$F$3+input!$C$5, "", A102+1))</f>
        <v/>
      </c>
      <c r="B103" s="20" t="str">
        <f t="shared" si="3"/>
        <v/>
      </c>
      <c r="C103" s="20" t="str">
        <f>IF(A103&lt;=input!$F$3, "False", IF(AND(A103&gt;input!$F$3,A103&lt;=(input!$F$3+input!$C$5)), "True", ""))</f>
        <v/>
      </c>
      <c r="D103" s="26" t="str">
        <f>IF(A103="","",IF(C103="False",FV(input!$C$10,A103,-input!$F$16,,input!$C$7),G102))</f>
        <v/>
      </c>
      <c r="E103" s="26" t="str">
        <f>IF(Table1[[#This Row],[Period]]="","",Table1[[#This Row],[Balance]]*profit_rate)</f>
        <v/>
      </c>
      <c r="F103" s="26" t="str">
        <f>IF(A103="","",IF(A103&gt;=input!$F$3, input!$F$12,0))</f>
        <v/>
      </c>
      <c r="G103" s="26" t="str">
        <f>IF(F103="","",D103-F103+Table1[[#This Row],[Interest]])</f>
        <v/>
      </c>
    </row>
    <row r="104" spans="1:7" hidden="1" x14ac:dyDescent="0.25">
      <c r="A104" s="20" t="str">
        <f>IF(A103="","",IF(A103+2&gt;input!$F$3+input!$C$5, "", A103+1))</f>
        <v/>
      </c>
      <c r="B104" s="20" t="str">
        <f t="shared" si="3"/>
        <v/>
      </c>
      <c r="C104" s="20" t="str">
        <f>IF(A104&lt;=input!$F$3, "False", IF(AND(A104&gt;input!$F$3,A104&lt;=(input!$F$3+input!$C$5)), "True", ""))</f>
        <v/>
      </c>
      <c r="D104" s="26" t="str">
        <f>IF(A104="","",IF(C104="False",FV(input!$C$10,A104,-input!$F$16,,input!$C$7),G103))</f>
        <v/>
      </c>
      <c r="E104" s="26" t="str">
        <f>IF(Table1[[#This Row],[Period]]="","",Table1[[#This Row],[Balance]]*profit_rate)</f>
        <v/>
      </c>
      <c r="F104" s="26" t="str">
        <f>IF(A104="","",IF(A104&gt;=input!$F$3, input!$F$12,0))</f>
        <v/>
      </c>
      <c r="G104" s="26" t="str">
        <f>IF(F104="","",D104-F104+Table1[[#This Row],[Interest]])</f>
        <v/>
      </c>
    </row>
    <row r="105" spans="1:7" hidden="1" x14ac:dyDescent="0.25">
      <c r="A105" s="20" t="str">
        <f>IF(A104="","",IF(A104+2&gt;input!$F$3+input!$C$5, "", A104+1))</f>
        <v/>
      </c>
      <c r="B105" s="20" t="str">
        <f t="shared" si="3"/>
        <v/>
      </c>
      <c r="C105" s="20" t="str">
        <f>IF(A105&lt;=input!$F$3, "False", IF(AND(A105&gt;input!$F$3,A105&lt;=(input!$F$3+input!$C$5)), "True", ""))</f>
        <v/>
      </c>
      <c r="D105" s="26" t="str">
        <f>IF(A105="","",IF(C105="False",FV(input!$C$10,A105,-input!$F$16,,input!$C$7),G104))</f>
        <v/>
      </c>
      <c r="E105" s="26" t="str">
        <f>IF(Table1[[#This Row],[Period]]="","",Table1[[#This Row],[Balance]]*profit_rate)</f>
        <v/>
      </c>
      <c r="F105" s="26" t="str">
        <f>IF(A105="","",IF(A105&gt;=input!$F$3, input!$F$12,0))</f>
        <v/>
      </c>
      <c r="G105" s="26" t="str">
        <f>IF(F105="","",D105-F105+Table1[[#This Row],[Interest]])</f>
        <v/>
      </c>
    </row>
    <row r="106" spans="1:7" hidden="1" x14ac:dyDescent="0.25">
      <c r="A106" s="20" t="str">
        <f>IF(A105="","",IF(A105+2&gt;input!$F$3+input!$C$5, "", A105+1))</f>
        <v/>
      </c>
      <c r="B106" s="20" t="str">
        <f t="shared" si="3"/>
        <v/>
      </c>
      <c r="C106" s="20" t="str">
        <f>IF(A106&lt;=input!$F$3, "False", IF(AND(A106&gt;input!$F$3,A106&lt;=(input!$F$3+input!$C$5)), "True", ""))</f>
        <v/>
      </c>
      <c r="D106" s="26" t="str">
        <f>IF(A106="","",IF(C106="False",FV(input!$C$10,A106,-input!$F$16,,input!$C$7),G105))</f>
        <v/>
      </c>
      <c r="E106" s="26" t="str">
        <f>IF(Table1[[#This Row],[Period]]="","",Table1[[#This Row],[Balance]]*profit_rate)</f>
        <v/>
      </c>
      <c r="F106" s="26" t="str">
        <f>IF(A106="","",IF(A106&gt;=input!$F$3, input!$F$12,0))</f>
        <v/>
      </c>
      <c r="G106" s="26" t="str">
        <f>IF(F106="","",D106-F106+Table1[[#This Row],[Interest]])</f>
        <v/>
      </c>
    </row>
    <row r="107" spans="1:7" hidden="1" x14ac:dyDescent="0.25">
      <c r="A107" s="20" t="str">
        <f>IF(A106="","",IF(A106+2&gt;input!$F$3+input!$C$5, "", A106+1))</f>
        <v/>
      </c>
      <c r="B107" s="20" t="str">
        <f t="shared" si="3"/>
        <v/>
      </c>
      <c r="C107" s="20" t="str">
        <f>IF(A107&lt;=input!$F$3, "False", IF(AND(A107&gt;input!$F$3,A107&lt;=(input!$F$3+input!$C$5)), "True", ""))</f>
        <v/>
      </c>
      <c r="D107" s="26" t="str">
        <f>IF(A107="","",IF(C107="False",FV(input!$C$10,A107,-input!$F$16,,input!$C$7),G106))</f>
        <v/>
      </c>
      <c r="E107" s="26" t="str">
        <f>IF(Table1[[#This Row],[Period]]="","",Table1[[#This Row],[Balance]]*profit_rate)</f>
        <v/>
      </c>
      <c r="F107" s="26" t="str">
        <f>IF(A107="","",IF(A107&gt;=input!$F$3, input!$F$12,0))</f>
        <v/>
      </c>
      <c r="G107" s="26" t="str">
        <f>IF(F107="","",D107-F107+Table1[[#This Row],[Interest]])</f>
        <v/>
      </c>
    </row>
    <row r="108" spans="1:7" hidden="1" x14ac:dyDescent="0.25">
      <c r="A108" s="20" t="str">
        <f>IF(A107="","",IF(A107+2&gt;input!$F$3+input!$C$5, "", A107+1))</f>
        <v/>
      </c>
      <c r="B108" s="20" t="str">
        <f t="shared" si="3"/>
        <v/>
      </c>
      <c r="C108" s="20" t="str">
        <f>IF(A108&lt;=input!$F$3, "False", IF(AND(A108&gt;input!$F$3,A108&lt;=(input!$F$3+input!$C$5)), "True", ""))</f>
        <v/>
      </c>
      <c r="D108" s="26" t="str">
        <f>IF(A108="","",IF(C108="False",FV(input!$C$10,A108,-input!$F$16,,input!$C$7),G107))</f>
        <v/>
      </c>
      <c r="E108" s="26" t="str">
        <f>IF(Table1[[#This Row],[Period]]="","",Table1[[#This Row],[Balance]]*profit_rate)</f>
        <v/>
      </c>
      <c r="F108" s="26" t="str">
        <f>IF(A108="","",IF(A108&gt;=input!$F$3, input!$F$12,0))</f>
        <v/>
      </c>
      <c r="G108" s="26" t="str">
        <f>IF(F108="","",D108-F108+Table1[[#This Row],[Interest]])</f>
        <v/>
      </c>
    </row>
    <row r="109" spans="1:7" hidden="1" x14ac:dyDescent="0.25">
      <c r="A109" s="20" t="str">
        <f>IF(A108="","",IF(A108+2&gt;input!$F$3+input!$C$5, "", A108+1))</f>
        <v/>
      </c>
      <c r="B109" s="20" t="str">
        <f t="shared" si="3"/>
        <v/>
      </c>
      <c r="C109" s="20" t="str">
        <f>IF(A109&lt;=input!$F$3, "False", IF(AND(A109&gt;input!$F$3,A109&lt;=(input!$F$3+input!$C$5)), "True", ""))</f>
        <v/>
      </c>
      <c r="D109" s="26" t="str">
        <f>IF(A109="","",IF(C109="False",FV(input!$C$10,A109,-input!$F$16,,input!$C$7),G108))</f>
        <v/>
      </c>
      <c r="E109" s="26" t="str">
        <f>IF(Table1[[#This Row],[Period]]="","",Table1[[#This Row],[Balance]]*profit_rate)</f>
        <v/>
      </c>
      <c r="F109" s="26" t="str">
        <f>IF(A109="","",IF(A109&gt;=input!$F$3, input!$F$12,0))</f>
        <v/>
      </c>
      <c r="G109" s="26" t="str">
        <f>IF(F109="","",D109-F109+Table1[[#This Row],[Interest]])</f>
        <v/>
      </c>
    </row>
    <row r="110" spans="1:7" hidden="1" x14ac:dyDescent="0.25">
      <c r="A110" s="20" t="str">
        <f>IF(A109="","",IF(A109+2&gt;input!$F$3+input!$C$5, "", A109+1))</f>
        <v/>
      </c>
      <c r="B110" s="20" t="str">
        <f t="shared" si="3"/>
        <v/>
      </c>
      <c r="C110" s="20" t="str">
        <f>IF(A110&lt;=input!$F$3, "False", IF(AND(A110&gt;input!$F$3,A110&lt;=(input!$F$3+input!$C$5)), "True", ""))</f>
        <v/>
      </c>
      <c r="D110" s="26" t="str">
        <f>IF(A110="","",IF(C110="False",FV(input!$C$10,A110,-input!$F$16,,input!$C$7),G109))</f>
        <v/>
      </c>
      <c r="E110" s="26" t="str">
        <f>IF(Table1[[#This Row],[Period]]="","",Table1[[#This Row],[Balance]]*profit_rate)</f>
        <v/>
      </c>
      <c r="F110" s="26" t="str">
        <f>IF(A110="","",IF(A110&gt;=input!$F$3, input!$F$12,0))</f>
        <v/>
      </c>
      <c r="G110" s="26" t="str">
        <f>IF(F110="","",D110-F110+Table1[[#This Row],[Interest]])</f>
        <v/>
      </c>
    </row>
    <row r="111" spans="1:7" hidden="1" x14ac:dyDescent="0.25">
      <c r="A111" s="20" t="str">
        <f>IF(A110="","",IF(A110+2&gt;input!$F$3+input!$C$5, "", A110+1))</f>
        <v/>
      </c>
      <c r="B111" s="20" t="str">
        <f t="shared" si="3"/>
        <v/>
      </c>
      <c r="C111" s="20" t="str">
        <f>IF(A111&lt;=input!$F$3, "False", IF(AND(A111&gt;input!$F$3,A111&lt;=(input!$F$3+input!$C$5)), "True", ""))</f>
        <v/>
      </c>
      <c r="D111" s="26" t="str">
        <f>IF(A111="","",IF(C111="False",FV(input!$C$10,A111,-input!$F$16,,input!$C$7),G110))</f>
        <v/>
      </c>
      <c r="E111" s="26" t="str">
        <f>IF(Table1[[#This Row],[Period]]="","",Table1[[#This Row],[Balance]]*profit_rate)</f>
        <v/>
      </c>
      <c r="F111" s="26" t="str">
        <f>IF(A111="","",IF(A111&gt;=input!$F$3, input!$F$12,0))</f>
        <v/>
      </c>
      <c r="G111" s="26" t="str">
        <f>IF(F111="","",D111-F111+Table1[[#This Row],[Interest]])</f>
        <v/>
      </c>
    </row>
    <row r="112" spans="1:7" hidden="1" x14ac:dyDescent="0.25">
      <c r="A112" s="20" t="str">
        <f>IF(A111="","",IF(A111+2&gt;input!$F$3+input!$C$5, "", A111+1))</f>
        <v/>
      </c>
      <c r="B112" s="20" t="str">
        <f t="shared" si="3"/>
        <v/>
      </c>
      <c r="C112" s="20" t="str">
        <f>IF(A112&lt;=input!$F$3, "False", IF(AND(A112&gt;input!$F$3,A112&lt;=(input!$F$3+input!$C$5)), "True", ""))</f>
        <v/>
      </c>
      <c r="D112" s="26" t="str">
        <f>IF(A112="","",IF(C112="False",FV(input!$C$10,A112,-input!$F$16,,input!$C$7),G111))</f>
        <v/>
      </c>
      <c r="E112" s="26" t="str">
        <f>IF(Table1[[#This Row],[Period]]="","",Table1[[#This Row],[Balance]]*profit_rate)</f>
        <v/>
      </c>
      <c r="F112" s="26" t="str">
        <f>IF(A112="","",IF(A112&gt;=input!$F$3, input!$F$12,0))</f>
        <v/>
      </c>
      <c r="G112" s="26" t="str">
        <f>IF(F112="","",D112-F112+Table1[[#This Row],[Interest]])</f>
        <v/>
      </c>
    </row>
    <row r="113" spans="1:7" hidden="1" x14ac:dyDescent="0.25">
      <c r="A113" s="20" t="str">
        <f>IF(A112="","",IF(A112+2&gt;input!$F$3+input!$C$5, "", A112+1))</f>
        <v/>
      </c>
      <c r="B113" s="20" t="str">
        <f t="shared" si="3"/>
        <v/>
      </c>
      <c r="C113" s="20" t="str">
        <f>IF(A113&lt;=input!$F$3, "False", IF(AND(A113&gt;input!$F$3,A113&lt;=(input!$F$3+input!$C$5)), "True", ""))</f>
        <v/>
      </c>
      <c r="D113" s="26" t="str">
        <f>IF(A113="","",IF(C113="False",FV(input!$C$10,A113,-input!$F$16,,input!$C$7),G112))</f>
        <v/>
      </c>
      <c r="E113" s="26" t="str">
        <f>IF(Table1[[#This Row],[Period]]="","",Table1[[#This Row],[Balance]]*profit_rate)</f>
        <v/>
      </c>
      <c r="F113" s="26" t="str">
        <f>IF(A113="","",IF(A113&gt;=input!$F$3, input!$F$12,0))</f>
        <v/>
      </c>
      <c r="G113" s="26" t="str">
        <f>IF(F113="","",D113-F113+Table1[[#This Row],[Interest]])</f>
        <v/>
      </c>
    </row>
    <row r="114" spans="1:7" hidden="1" x14ac:dyDescent="0.25">
      <c r="A114" s="20" t="str">
        <f>IF(A113="","",IF(A113+2&gt;input!$F$3+input!$C$5, "", A113+1))</f>
        <v/>
      </c>
      <c r="B114" s="20" t="str">
        <f t="shared" si="3"/>
        <v/>
      </c>
      <c r="C114" s="20" t="str">
        <f>IF(A114&lt;=input!$F$3, "False", IF(AND(A114&gt;input!$F$3,A114&lt;=(input!$F$3+input!$C$5)), "True", ""))</f>
        <v/>
      </c>
      <c r="D114" s="26" t="str">
        <f>IF(A114="","",IF(C114="False",FV(input!$C$10,A114,-input!$F$16,,input!$C$7),G113))</f>
        <v/>
      </c>
      <c r="E114" s="26" t="str">
        <f>IF(Table1[[#This Row],[Period]]="","",Table1[[#This Row],[Balance]]*profit_rate)</f>
        <v/>
      </c>
      <c r="F114" s="26" t="str">
        <f>IF(A114="","",IF(A114&gt;=input!$F$3, input!$F$12,0))</f>
        <v/>
      </c>
      <c r="G114" s="26" t="str">
        <f>IF(F114="","",D114-F114+Table1[[#This Row],[Interest]])</f>
        <v/>
      </c>
    </row>
    <row r="115" spans="1:7" hidden="1" x14ac:dyDescent="0.25">
      <c r="A115" s="20" t="str">
        <f>IF(A114="","",IF(A114+2&gt;input!$F$3+input!$C$5, "", A114+1))</f>
        <v/>
      </c>
      <c r="B115" s="20" t="str">
        <f t="shared" si="3"/>
        <v/>
      </c>
      <c r="C115" s="20" t="str">
        <f>IF(A115&lt;=input!$F$3, "False", IF(AND(A115&gt;input!$F$3,A115&lt;=(input!$F$3+input!$C$5)), "True", ""))</f>
        <v/>
      </c>
      <c r="D115" s="26" t="str">
        <f>IF(A115="","",IF(C115="False",FV(input!$C$10,A115,-input!$F$16,,input!$C$7),G114))</f>
        <v/>
      </c>
      <c r="E115" s="26" t="str">
        <f>IF(Table1[[#This Row],[Period]]="","",Table1[[#This Row],[Balance]]*profit_rate)</f>
        <v/>
      </c>
      <c r="F115" s="26" t="str">
        <f>IF(A115="","",IF(A115&gt;=input!$F$3, input!$F$12,0))</f>
        <v/>
      </c>
      <c r="G115" s="26" t="str">
        <f>IF(F115="","",D115-F115+Table1[[#This Row],[Interest]])</f>
        <v/>
      </c>
    </row>
    <row r="116" spans="1:7" hidden="1" x14ac:dyDescent="0.25">
      <c r="A116" s="20" t="str">
        <f>IF(A115="","",IF(A115+2&gt;input!$F$3+input!$C$5, "", A115+1))</f>
        <v/>
      </c>
      <c r="B116" s="20" t="str">
        <f t="shared" si="3"/>
        <v/>
      </c>
      <c r="C116" s="20" t="str">
        <f>IF(A116&lt;=input!$F$3, "False", IF(AND(A116&gt;input!$F$3,A116&lt;=(input!$F$3+input!$C$5)), "True", ""))</f>
        <v/>
      </c>
      <c r="D116" s="26" t="str">
        <f>IF(A116="","",IF(C116="False",FV(input!$C$10,A116,-input!$F$16,,input!$C$7),G115))</f>
        <v/>
      </c>
      <c r="E116" s="26" t="str">
        <f>IF(Table1[[#This Row],[Period]]="","",Table1[[#This Row],[Balance]]*profit_rate)</f>
        <v/>
      </c>
      <c r="F116" s="26" t="str">
        <f>IF(A116="","",IF(A116&gt;=input!$F$3, input!$F$12,0))</f>
        <v/>
      </c>
      <c r="G116" s="26" t="str">
        <f>IF(F116="","",D116-F116+Table1[[#This Row],[Interest]])</f>
        <v/>
      </c>
    </row>
    <row r="117" spans="1:7" hidden="1" x14ac:dyDescent="0.25">
      <c r="A117" s="20" t="str">
        <f>IF(A116="","",IF(A116+2&gt;input!$F$3+input!$C$5, "", A116+1))</f>
        <v/>
      </c>
      <c r="B117" s="20" t="str">
        <f t="shared" si="3"/>
        <v/>
      </c>
      <c r="C117" s="20" t="str">
        <f>IF(A117&lt;=input!$F$3, "False", IF(AND(A117&gt;input!$F$3,A117&lt;=(input!$F$3+input!$C$5)), "True", ""))</f>
        <v/>
      </c>
      <c r="D117" s="26" t="str">
        <f>IF(A117="","",IF(C117="False",FV(input!$C$10,A117,-input!$F$16,,input!$C$7),G116))</f>
        <v/>
      </c>
      <c r="E117" s="26" t="str">
        <f>IF(Table1[[#This Row],[Period]]="","",Table1[[#This Row],[Balance]]*profit_rate)</f>
        <v/>
      </c>
      <c r="F117" s="26" t="str">
        <f>IF(A117="","",IF(A117&gt;=input!$F$3, input!$F$12,0))</f>
        <v/>
      </c>
      <c r="G117" s="26" t="str">
        <f>IF(F117="","",D117-F117+Table1[[#This Row],[Interest]])</f>
        <v/>
      </c>
    </row>
    <row r="118" spans="1:7" hidden="1" x14ac:dyDescent="0.25">
      <c r="A118" s="20" t="str">
        <f>IF(A117="","",IF(A117+2&gt;input!$F$3+input!$C$5, "", A117+1))</f>
        <v/>
      </c>
      <c r="B118" s="20" t="str">
        <f t="shared" si="3"/>
        <v/>
      </c>
      <c r="C118" s="20" t="str">
        <f>IF(A118&lt;=input!$F$3, "False", IF(AND(A118&gt;input!$F$3,A118&lt;=(input!$F$3+input!$C$5)), "True", ""))</f>
        <v/>
      </c>
      <c r="D118" s="26" t="str">
        <f>IF(A118="","",IF(C118="False",FV(input!$C$10,A118,-input!$F$16,,input!$C$7),G117))</f>
        <v/>
      </c>
      <c r="E118" s="26" t="str">
        <f>IF(Table1[[#This Row],[Period]]="","",Table1[[#This Row],[Balance]]*profit_rate)</f>
        <v/>
      </c>
      <c r="F118" s="26" t="str">
        <f>IF(A118="","",IF(A118&gt;=input!$F$3, input!$F$12,0))</f>
        <v/>
      </c>
      <c r="G118" s="26" t="str">
        <f>IF(F118="","",D118-F118+Table1[[#This Row],[Interest]])</f>
        <v/>
      </c>
    </row>
    <row r="119" spans="1:7" hidden="1" x14ac:dyDescent="0.25">
      <c r="A119" s="20" t="str">
        <f>IF(A118="","",IF(A118+2&gt;input!$F$3+input!$C$5, "", A118+1))</f>
        <v/>
      </c>
      <c r="B119" s="20" t="str">
        <f t="shared" si="3"/>
        <v/>
      </c>
      <c r="C119" s="20" t="str">
        <f>IF(A119&lt;=input!$F$3, "False", IF(AND(A119&gt;input!$F$3,A119&lt;=(input!$F$3+input!$C$5)), "True", ""))</f>
        <v/>
      </c>
      <c r="D119" s="26" t="str">
        <f>IF(A119="","",IF(C119="False",FV(input!$C$10,A119,-input!$F$16,,input!$C$7),G118))</f>
        <v/>
      </c>
      <c r="E119" s="26" t="str">
        <f>IF(Table1[[#This Row],[Period]]="","",Table1[[#This Row],[Balance]]*profit_rate)</f>
        <v/>
      </c>
      <c r="F119" s="26" t="str">
        <f>IF(A119="","",IF(A119&gt;=input!$F$3, input!$F$12,0))</f>
        <v/>
      </c>
      <c r="G119" s="26" t="str">
        <f>IF(F119="","",D119-F119+Table1[[#This Row],[Interest]])</f>
        <v/>
      </c>
    </row>
    <row r="120" spans="1:7" hidden="1" x14ac:dyDescent="0.25">
      <c r="A120" s="20" t="str">
        <f>IF(A119="","",IF(A119+2&gt;input!$F$3+input!$C$5, "", A119+1))</f>
        <v/>
      </c>
      <c r="B120" s="20" t="str">
        <f t="shared" si="3"/>
        <v/>
      </c>
      <c r="C120" s="20" t="str">
        <f>IF(A120&lt;=input!$F$3, "False", IF(AND(A120&gt;input!$F$3,A120&lt;=(input!$F$3+input!$C$5)), "True", ""))</f>
        <v/>
      </c>
      <c r="D120" s="26" t="str">
        <f>IF(A120="","",IF(C120="False",FV(input!$C$10,A120,-input!$F$16,,input!$C$7),G119))</f>
        <v/>
      </c>
      <c r="E120" s="26" t="str">
        <f>IF(Table1[[#This Row],[Period]]="","",Table1[[#This Row],[Balance]]*profit_rate)</f>
        <v/>
      </c>
      <c r="F120" s="26" t="str">
        <f>IF(A120="","",IF(A120&gt;=input!$F$3, input!$F$12,0))</f>
        <v/>
      </c>
      <c r="G120" s="26" t="str">
        <f>IF(F120="","",D120-F120+Table1[[#This Row],[Interest]])</f>
        <v/>
      </c>
    </row>
    <row r="121" spans="1:7" hidden="1" x14ac:dyDescent="0.25">
      <c r="A121" s="20" t="str">
        <f>IF(A120="","",IF(A120+2&gt;input!$F$3+input!$C$5, "", A120+1))</f>
        <v/>
      </c>
      <c r="B121" s="20" t="str">
        <f t="shared" si="3"/>
        <v/>
      </c>
      <c r="C121" s="20" t="str">
        <f>IF(A121&lt;=input!$F$3, "False", IF(AND(A121&gt;input!$F$3,A121&lt;=(input!$F$3+input!$C$5)), "True", ""))</f>
        <v/>
      </c>
      <c r="D121" s="26" t="str">
        <f>IF(A121="","",IF(C121="False",FV(input!$C$10,A121,-input!$F$16,,input!$C$7),G120))</f>
        <v/>
      </c>
      <c r="E121" s="26" t="str">
        <f>IF(Table1[[#This Row],[Period]]="","",Table1[[#This Row],[Balance]]*profit_rate)</f>
        <v/>
      </c>
      <c r="F121" s="26" t="str">
        <f>IF(A121="","",IF(A121&gt;=input!$F$3, input!$F$12,0))</f>
        <v/>
      </c>
      <c r="G121" s="26" t="str">
        <f>IF(F121="","",D121-F121+Table1[[#This Row],[Interest]])</f>
        <v/>
      </c>
    </row>
    <row r="122" spans="1:7" hidden="1" x14ac:dyDescent="0.25">
      <c r="A122" s="20" t="str">
        <f>IF(A121="","",IF(A121+2&gt;input!$F$3+input!$C$5, "", A121+1))</f>
        <v/>
      </c>
      <c r="B122" s="20" t="str">
        <f t="shared" si="3"/>
        <v/>
      </c>
      <c r="C122" s="20" t="str">
        <f>IF(A122&lt;=input!$F$3, "False", IF(AND(A122&gt;input!$F$3,A122&lt;=(input!$F$3+input!$C$5)), "True", ""))</f>
        <v/>
      </c>
      <c r="D122" s="26" t="str">
        <f>IF(A122="","",IF(C122="False",FV(input!$C$10,A122,-input!$F$16,,input!$C$7),G121))</f>
        <v/>
      </c>
      <c r="E122" s="26" t="str">
        <f>IF(Table1[[#This Row],[Period]]="","",Table1[[#This Row],[Balance]]*profit_rate)</f>
        <v/>
      </c>
      <c r="F122" s="26" t="str">
        <f>IF(A122="","",IF(A122&gt;=input!$F$3, input!$F$12,0))</f>
        <v/>
      </c>
      <c r="G122" s="26" t="str">
        <f>IF(F122="","",D122-F122+Table1[[#This Row],[Interest]])</f>
        <v/>
      </c>
    </row>
    <row r="123" spans="1:7" hidden="1" x14ac:dyDescent="0.25">
      <c r="A123" s="20" t="str">
        <f>IF(A122="","",IF(A122+2&gt;input!$F$3+input!$C$5, "", A122+1))</f>
        <v/>
      </c>
      <c r="B123" s="20" t="str">
        <f t="shared" si="3"/>
        <v/>
      </c>
      <c r="C123" s="20" t="str">
        <f>IF(A123&lt;=input!$F$3, "False", IF(AND(A123&gt;input!$F$3,A123&lt;=(input!$F$3+input!$C$5)), "True", ""))</f>
        <v/>
      </c>
      <c r="D123" s="26" t="str">
        <f>IF(A123="","",IF(C123="False",FV(input!$C$10,A123,-input!$F$16,,input!$C$7),G122))</f>
        <v/>
      </c>
      <c r="E123" s="26" t="str">
        <f>IF(Table1[[#This Row],[Period]]="","",Table1[[#This Row],[Balance]]*profit_rate)</f>
        <v/>
      </c>
      <c r="F123" s="26" t="str">
        <f>IF(A123="","",IF(A123&gt;=input!$F$3, input!$F$12,0))</f>
        <v/>
      </c>
      <c r="G123" s="26" t="str">
        <f>IF(F123="","",D123-F123+Table1[[#This Row],[Interest]])</f>
        <v/>
      </c>
    </row>
    <row r="124" spans="1:7" hidden="1" x14ac:dyDescent="0.25">
      <c r="A124" s="20" t="str">
        <f>IF(A123="","",IF(A123+2&gt;input!$F$3+input!$C$5, "", A123+1))</f>
        <v/>
      </c>
      <c r="B124" s="20" t="str">
        <f t="shared" si="3"/>
        <v/>
      </c>
      <c r="C124" s="20" t="str">
        <f>IF(A124&lt;=input!$F$3, "False", IF(AND(A124&gt;input!$F$3,A124&lt;=(input!$F$3+input!$C$5)), "True", ""))</f>
        <v/>
      </c>
      <c r="D124" s="26" t="str">
        <f>IF(A124="","",IF(C124="False",FV(input!$C$10,A124,-input!$F$16,,input!$C$7),G123))</f>
        <v/>
      </c>
      <c r="E124" s="26" t="str">
        <f>IF(Table1[[#This Row],[Period]]="","",Table1[[#This Row],[Balance]]*profit_rate)</f>
        <v/>
      </c>
      <c r="F124" s="26" t="str">
        <f>IF(A124="","",IF(A124&gt;=input!$F$3, input!$F$12,0))</f>
        <v/>
      </c>
      <c r="G124" s="26" t="str">
        <f>IF(F124="","",D124-F124+Table1[[#This Row],[Interest]])</f>
        <v/>
      </c>
    </row>
    <row r="125" spans="1:7" hidden="1" x14ac:dyDescent="0.25">
      <c r="A125" s="20" t="str">
        <f>IF(A124="","",IF(A124+2&gt;input!$F$3+input!$C$5, "", A124+1))</f>
        <v/>
      </c>
      <c r="B125" s="20" t="str">
        <f t="shared" si="3"/>
        <v/>
      </c>
      <c r="C125" s="20" t="str">
        <f>IF(A125&lt;=input!$F$3, "False", IF(AND(A125&gt;input!$F$3,A125&lt;=(input!$F$3+input!$C$5)), "True", ""))</f>
        <v/>
      </c>
      <c r="D125" s="26" t="str">
        <f>IF(A125="","",IF(C125="False",FV(input!$C$10,A125,-input!$F$16,,input!$C$7),G124))</f>
        <v/>
      </c>
      <c r="E125" s="26" t="str">
        <f>IF(Table1[[#This Row],[Period]]="","",Table1[[#This Row],[Balance]]*profit_rate)</f>
        <v/>
      </c>
      <c r="F125" s="26" t="str">
        <f>IF(A125="","",IF(A125&gt;=input!$F$3, input!$F$12,0))</f>
        <v/>
      </c>
      <c r="G125" s="26" t="str">
        <f>IF(F125="","",D125-F125+Table1[[#This Row],[Interest]])</f>
        <v/>
      </c>
    </row>
    <row r="126" spans="1:7" hidden="1" x14ac:dyDescent="0.25">
      <c r="A126" s="20" t="str">
        <f>IF(A125="","",IF(A125+2&gt;input!$F$3+input!$C$5, "", A125+1))</f>
        <v/>
      </c>
      <c r="B126" s="20" t="str">
        <f t="shared" si="3"/>
        <v/>
      </c>
      <c r="C126" s="20" t="str">
        <f>IF(A126&lt;=input!$F$3, "False", IF(AND(A126&gt;input!$F$3,A126&lt;=(input!$F$3+input!$C$5)), "True", ""))</f>
        <v/>
      </c>
      <c r="D126" s="26" t="str">
        <f>IF(A126="","",IF(C126="False",FV(input!$C$10,A126,-input!$F$16,,input!$C$7),G125))</f>
        <v/>
      </c>
      <c r="E126" s="26" t="str">
        <f>IF(Table1[[#This Row],[Period]]="","",Table1[[#This Row],[Balance]]*profit_rate)</f>
        <v/>
      </c>
      <c r="F126" s="26" t="str">
        <f>IF(A126="","",IF(A126&gt;=input!$F$3, input!$F$12,0))</f>
        <v/>
      </c>
      <c r="G126" s="26" t="str">
        <f>IF(F126="","",D126-F126+Table1[[#This Row],[Interest]])</f>
        <v/>
      </c>
    </row>
    <row r="127" spans="1:7" hidden="1" x14ac:dyDescent="0.25">
      <c r="A127" s="20" t="str">
        <f>IF(A126="","",IF(A126+2&gt;input!$F$3+input!$C$5, "", A126+1))</f>
        <v/>
      </c>
      <c r="B127" s="20" t="str">
        <f t="shared" si="3"/>
        <v/>
      </c>
      <c r="C127" s="20" t="str">
        <f>IF(A127&lt;=input!$F$3, "False", IF(AND(A127&gt;input!$F$3,A127&lt;=(input!$F$3+input!$C$5)), "True", ""))</f>
        <v/>
      </c>
      <c r="D127" s="26" t="str">
        <f>IF(A127="","",IF(C127="False",FV(input!$C$10,A127,-input!$F$16,,input!$C$7),G126))</f>
        <v/>
      </c>
      <c r="E127" s="26" t="str">
        <f>IF(Table1[[#This Row],[Period]]="","",Table1[[#This Row],[Balance]]*profit_rate)</f>
        <v/>
      </c>
      <c r="F127" s="26" t="str">
        <f>IF(A127="","",IF(A127&gt;=input!$F$3, input!$F$12,0))</f>
        <v/>
      </c>
      <c r="G127" s="26" t="str">
        <f>IF(F127="","",D127-F127+Table1[[#This Row],[Interest]])</f>
        <v/>
      </c>
    </row>
    <row r="128" spans="1:7" hidden="1" x14ac:dyDescent="0.25">
      <c r="A128" s="20" t="str">
        <f>IF(A127="","",IF(A127+2&gt;input!$F$3+input!$C$5, "", A127+1))</f>
        <v/>
      </c>
      <c r="B128" s="20" t="str">
        <f t="shared" si="3"/>
        <v/>
      </c>
      <c r="C128" s="20" t="str">
        <f>IF(A128&lt;=input!$F$3, "False", IF(AND(A128&gt;input!$F$3,A128&lt;=(input!$F$3+input!$C$5)), "True", ""))</f>
        <v/>
      </c>
      <c r="D128" s="26" t="str">
        <f>IF(A128="","",IF(C128="False",FV(input!$C$10,A128,-input!$F$16,,input!$C$7),G127))</f>
        <v/>
      </c>
      <c r="E128" s="26" t="str">
        <f>IF(Table1[[#This Row],[Period]]="","",Table1[[#This Row],[Balance]]*profit_rate)</f>
        <v/>
      </c>
      <c r="F128" s="26" t="str">
        <f>IF(A128="","",IF(A128&gt;=input!$F$3, input!$F$12,0))</f>
        <v/>
      </c>
      <c r="G128" s="26" t="str">
        <f>IF(F128="","",D128-F128+Table1[[#This Row],[Interest]])</f>
        <v/>
      </c>
    </row>
    <row r="129" spans="1:7" hidden="1" x14ac:dyDescent="0.25">
      <c r="A129" s="20" t="str">
        <f>IF(A128="","",IF(A128+2&gt;input!$F$3+input!$C$5, "", A128+1))</f>
        <v/>
      </c>
      <c r="B129" s="20" t="str">
        <f t="shared" si="3"/>
        <v/>
      </c>
      <c r="C129" s="20" t="str">
        <f>IF(A129&lt;=input!$F$3, "False", IF(AND(A129&gt;input!$F$3,A129&lt;=(input!$F$3+input!$C$5)), "True", ""))</f>
        <v/>
      </c>
      <c r="D129" s="26" t="str">
        <f>IF(A129="","",IF(C129="False",FV(input!$C$10,A129,-input!$F$16,,input!$C$7),G128))</f>
        <v/>
      </c>
      <c r="E129" s="26" t="str">
        <f>IF(Table1[[#This Row],[Period]]="","",Table1[[#This Row],[Balance]]*profit_rate)</f>
        <v/>
      </c>
      <c r="F129" s="26" t="str">
        <f>IF(A129="","",IF(A129&gt;=input!$F$3, input!$F$12,0))</f>
        <v/>
      </c>
      <c r="G129" s="26" t="str">
        <f>IF(F129="","",D129-F129+Table1[[#This Row],[Interest]])</f>
        <v/>
      </c>
    </row>
    <row r="130" spans="1:7" hidden="1" x14ac:dyDescent="0.25">
      <c r="A130" s="20" t="str">
        <f>IF(A129="","",IF(A129+2&gt;input!$F$3+input!$C$5, "", A129+1))</f>
        <v/>
      </c>
      <c r="B130" s="20" t="str">
        <f t="shared" si="3"/>
        <v/>
      </c>
      <c r="C130" s="20" t="str">
        <f>IF(A130&lt;=input!$F$3, "False", IF(AND(A130&gt;input!$F$3,A130&lt;=(input!$F$3+input!$C$5)), "True", ""))</f>
        <v/>
      </c>
      <c r="D130" s="26" t="str">
        <f>IF(A130="","",IF(C130="False",FV(input!$C$10,A130,-input!$F$16,,input!$C$7),G129))</f>
        <v/>
      </c>
      <c r="E130" s="26" t="str">
        <f>IF(Table1[[#This Row],[Period]]="","",Table1[[#This Row],[Balance]]*profit_rate)</f>
        <v/>
      </c>
      <c r="F130" s="26" t="str">
        <f>IF(A130="","",IF(A130&gt;=input!$F$3, input!$F$12,0))</f>
        <v/>
      </c>
      <c r="G130" s="26" t="str">
        <f>IF(F130="","",D130-F130+Table1[[#This Row],[Interest]])</f>
        <v/>
      </c>
    </row>
    <row r="131" spans="1:7" hidden="1" x14ac:dyDescent="0.25">
      <c r="A131" s="20" t="str">
        <f>IF(A130="","",IF(A130+2&gt;input!$F$3+input!$C$5, "", A130+1))</f>
        <v/>
      </c>
      <c r="B131" s="20" t="str">
        <f t="shared" ref="B131:B162" si="4">IF(A131="","",starting_year+(A131-1))</f>
        <v/>
      </c>
      <c r="C131" s="20" t="str">
        <f>IF(A131&lt;=input!$F$3, "False", IF(AND(A131&gt;input!$F$3,A131&lt;=(input!$F$3+input!$C$5)), "True", ""))</f>
        <v/>
      </c>
      <c r="D131" s="26" t="str">
        <f>IF(A131="","",IF(C131="False",FV(input!$C$10,A131,-input!$F$16,,input!$C$7),G130))</f>
        <v/>
      </c>
      <c r="E131" s="26" t="str">
        <f>IF(Table1[[#This Row],[Period]]="","",Table1[[#This Row],[Balance]]*profit_rate)</f>
        <v/>
      </c>
      <c r="F131" s="26" t="str">
        <f>IF(A131="","",IF(A131&gt;=input!$F$3, input!$F$12,0))</f>
        <v/>
      </c>
      <c r="G131" s="26" t="str">
        <f>IF(F131="","",D131-F131+Table1[[#This Row],[Interest]])</f>
        <v/>
      </c>
    </row>
    <row r="132" spans="1:7" hidden="1" x14ac:dyDescent="0.25">
      <c r="A132" s="20" t="str">
        <f>IF(A131="","",IF(A131+2&gt;input!$F$3+input!$C$5, "", A131+1))</f>
        <v/>
      </c>
      <c r="B132" s="20" t="str">
        <f t="shared" si="4"/>
        <v/>
      </c>
      <c r="C132" s="20" t="str">
        <f>IF(A132&lt;=input!$F$3, "False", IF(AND(A132&gt;input!$F$3,A132&lt;=(input!$F$3+input!$C$5)), "True", ""))</f>
        <v/>
      </c>
      <c r="D132" s="26" t="str">
        <f>IF(A132="","",IF(C132="False",FV(input!$C$10,A132,-input!$F$16,,input!$C$7),G131))</f>
        <v/>
      </c>
      <c r="E132" s="26" t="str">
        <f>IF(Table1[[#This Row],[Period]]="","",Table1[[#This Row],[Balance]]*profit_rate)</f>
        <v/>
      </c>
      <c r="F132" s="26" t="str">
        <f>IF(A132="","",IF(A132&gt;=input!$F$3, input!$F$12,0))</f>
        <v/>
      </c>
      <c r="G132" s="26" t="str">
        <f>IF(F132="","",D132-F132+Table1[[#This Row],[Interest]])</f>
        <v/>
      </c>
    </row>
    <row r="133" spans="1:7" hidden="1" x14ac:dyDescent="0.25">
      <c r="A133" s="20" t="str">
        <f>IF(A132="","",IF(A132+2&gt;input!$F$3+input!$C$5, "", A132+1))</f>
        <v/>
      </c>
      <c r="B133" s="20" t="str">
        <f t="shared" si="4"/>
        <v/>
      </c>
      <c r="C133" s="20" t="str">
        <f>IF(A133&lt;=input!$F$3, "False", IF(AND(A133&gt;input!$F$3,A133&lt;=(input!$F$3+input!$C$5)), "True", ""))</f>
        <v/>
      </c>
      <c r="D133" s="26" t="str">
        <f>IF(A133="","",IF(C133="False",FV(input!$C$10,A133,-input!$F$16,,input!$C$7),G132))</f>
        <v/>
      </c>
      <c r="E133" s="26" t="str">
        <f>IF(Table1[[#This Row],[Period]]="","",Table1[[#This Row],[Balance]]*profit_rate)</f>
        <v/>
      </c>
      <c r="F133" s="26" t="str">
        <f>IF(A133="","",IF(A133&gt;=input!$F$3, input!$F$12,0))</f>
        <v/>
      </c>
      <c r="G133" s="26" t="str">
        <f>IF(F133="","",D133-F133+Table1[[#This Row],[Interest]])</f>
        <v/>
      </c>
    </row>
    <row r="134" spans="1:7" hidden="1" x14ac:dyDescent="0.25">
      <c r="A134" s="20" t="str">
        <f>IF(A133="","",IF(A133+2&gt;input!$F$3+input!$C$5, "", A133+1))</f>
        <v/>
      </c>
      <c r="B134" s="20" t="str">
        <f t="shared" si="4"/>
        <v/>
      </c>
      <c r="C134" s="20" t="str">
        <f>IF(A134&lt;=input!$F$3, "False", IF(AND(A134&gt;input!$F$3,A134&lt;=(input!$F$3+input!$C$5)), "True", ""))</f>
        <v/>
      </c>
      <c r="D134" s="26" t="str">
        <f>IF(A134="","",IF(C134="False",FV(input!$C$10,A134,-input!$F$16,,input!$C$7),G133))</f>
        <v/>
      </c>
      <c r="E134" s="26" t="str">
        <f>IF(Table1[[#This Row],[Period]]="","",Table1[[#This Row],[Balance]]*profit_rate)</f>
        <v/>
      </c>
      <c r="F134" s="26" t="str">
        <f>IF(A134="","",IF(A134&gt;=input!$F$3, input!$F$12,0))</f>
        <v/>
      </c>
      <c r="G134" s="26" t="str">
        <f>IF(F134="","",D134-F134+Table1[[#This Row],[Interest]])</f>
        <v/>
      </c>
    </row>
    <row r="135" spans="1:7" hidden="1" x14ac:dyDescent="0.25">
      <c r="A135" s="20" t="str">
        <f>IF(A134="","",IF(A134+2&gt;input!$F$3+input!$C$5, "", A134+1))</f>
        <v/>
      </c>
      <c r="B135" s="20" t="str">
        <f t="shared" si="4"/>
        <v/>
      </c>
      <c r="C135" s="20" t="str">
        <f>IF(A135&lt;=input!$F$3, "False", IF(AND(A135&gt;input!$F$3,A135&lt;=(input!$F$3+input!$C$5)), "True", ""))</f>
        <v/>
      </c>
      <c r="D135" s="26" t="str">
        <f>IF(A135="","",IF(C135="False",FV(input!$C$10,A135,-input!$F$16,,input!$C$7),G134))</f>
        <v/>
      </c>
      <c r="E135" s="26" t="str">
        <f>IF(Table1[[#This Row],[Period]]="","",Table1[[#This Row],[Balance]]*profit_rate)</f>
        <v/>
      </c>
      <c r="F135" s="26" t="str">
        <f>IF(A135="","",IF(A135&gt;=input!$F$3, input!$F$12,0))</f>
        <v/>
      </c>
      <c r="G135" s="26" t="str">
        <f>IF(F135="","",D135-F135+Table1[[#This Row],[Interest]])</f>
        <v/>
      </c>
    </row>
    <row r="136" spans="1:7" hidden="1" x14ac:dyDescent="0.25">
      <c r="A136" s="20" t="str">
        <f>IF(A135="","",IF(A135+2&gt;input!$F$3+input!$C$5, "", A135+1))</f>
        <v/>
      </c>
      <c r="B136" s="20" t="str">
        <f t="shared" si="4"/>
        <v/>
      </c>
      <c r="C136" s="20" t="str">
        <f>IF(A136&lt;=input!$F$3, "False", IF(AND(A136&gt;input!$F$3,A136&lt;=(input!$F$3+input!$C$5)), "True", ""))</f>
        <v/>
      </c>
      <c r="D136" s="26" t="str">
        <f>IF(A136="","",IF(C136="False",FV(input!$C$10,A136,-input!$F$16,,input!$C$7),G135))</f>
        <v/>
      </c>
      <c r="E136" s="26" t="str">
        <f>IF(Table1[[#This Row],[Period]]="","",Table1[[#This Row],[Balance]]*profit_rate)</f>
        <v/>
      </c>
      <c r="F136" s="26" t="str">
        <f>IF(A136="","",IF(A136&gt;=input!$F$3, input!$F$12,0))</f>
        <v/>
      </c>
      <c r="G136" s="26" t="str">
        <f>IF(F136="","",D136-F136+Table1[[#This Row],[Interest]])</f>
        <v/>
      </c>
    </row>
    <row r="137" spans="1:7" hidden="1" x14ac:dyDescent="0.25">
      <c r="A137" s="20" t="str">
        <f>IF(A136="","",IF(A136+2&gt;input!$F$3+input!$C$5, "", A136+1))</f>
        <v/>
      </c>
      <c r="B137" s="20" t="str">
        <f t="shared" si="4"/>
        <v/>
      </c>
      <c r="C137" s="20" t="str">
        <f>IF(A137&lt;=input!$F$3, "False", IF(AND(A137&gt;input!$F$3,A137&lt;=(input!$F$3+input!$C$5)), "True", ""))</f>
        <v/>
      </c>
      <c r="D137" s="26" t="str">
        <f>IF(A137="","",IF(C137="False",FV(input!$C$10,A137,-input!$F$16,,input!$C$7),G136))</f>
        <v/>
      </c>
      <c r="E137" s="26" t="str">
        <f>IF(Table1[[#This Row],[Period]]="","",Table1[[#This Row],[Balance]]*profit_rate)</f>
        <v/>
      </c>
      <c r="F137" s="26" t="str">
        <f>IF(A137="","",IF(A137&gt;=input!$F$3, input!$F$12,0))</f>
        <v/>
      </c>
      <c r="G137" s="26" t="str">
        <f>IF(F137="","",D137-F137+Table1[[#This Row],[Interest]])</f>
        <v/>
      </c>
    </row>
    <row r="138" spans="1:7" hidden="1" x14ac:dyDescent="0.25">
      <c r="A138" s="20" t="str">
        <f>IF(A137="","",IF(A137+2&gt;input!$F$3+input!$C$5, "", A137+1))</f>
        <v/>
      </c>
      <c r="B138" s="20" t="str">
        <f t="shared" si="4"/>
        <v/>
      </c>
      <c r="C138" s="20" t="str">
        <f>IF(A138&lt;=input!$F$3, "False", IF(AND(A138&gt;input!$F$3,A138&lt;=(input!$F$3+input!$C$5)), "True", ""))</f>
        <v/>
      </c>
      <c r="D138" s="26" t="str">
        <f>IF(A138="","",IF(C138="False",FV(input!$C$10,A138,-input!$F$16,,input!$C$7),G137))</f>
        <v/>
      </c>
      <c r="E138" s="26" t="str">
        <f>IF(Table1[[#This Row],[Period]]="","",Table1[[#This Row],[Balance]]*profit_rate)</f>
        <v/>
      </c>
      <c r="F138" s="26" t="str">
        <f>IF(A138="","",IF(A138&gt;=input!$F$3, input!$F$12,0))</f>
        <v/>
      </c>
      <c r="G138" s="26" t="str">
        <f>IF(F138="","",D138-F138+Table1[[#This Row],[Interest]])</f>
        <v/>
      </c>
    </row>
    <row r="139" spans="1:7" hidden="1" x14ac:dyDescent="0.25">
      <c r="A139" s="20" t="str">
        <f>IF(A138="","",IF(A138+2&gt;input!$F$3+input!$C$5, "", A138+1))</f>
        <v/>
      </c>
      <c r="B139" s="20" t="str">
        <f t="shared" si="4"/>
        <v/>
      </c>
      <c r="C139" s="20" t="str">
        <f>IF(A139&lt;=input!$F$3, "False", IF(AND(A139&gt;input!$F$3,A139&lt;=(input!$F$3+input!$C$5)), "True", ""))</f>
        <v/>
      </c>
      <c r="D139" s="26" t="str">
        <f>IF(A139="","",IF(C139="False",FV(input!$C$10,A139,-input!$F$16,,input!$C$7),G138))</f>
        <v/>
      </c>
      <c r="E139" s="26" t="str">
        <f>IF(Table1[[#This Row],[Period]]="","",Table1[[#This Row],[Balance]]*profit_rate)</f>
        <v/>
      </c>
      <c r="F139" s="26" t="str">
        <f>IF(A139="","",IF(A139&gt;=input!$F$3, input!$F$12,0))</f>
        <v/>
      </c>
      <c r="G139" s="26" t="str">
        <f>IF(F139="","",D139-F139+Table1[[#This Row],[Interest]])</f>
        <v/>
      </c>
    </row>
    <row r="140" spans="1:7" hidden="1" x14ac:dyDescent="0.25">
      <c r="A140" s="20" t="str">
        <f>IF(A139="","",IF(A139+2&gt;input!$F$3+input!$C$5, "", A139+1))</f>
        <v/>
      </c>
      <c r="B140" s="20" t="str">
        <f t="shared" si="4"/>
        <v/>
      </c>
      <c r="C140" s="20" t="str">
        <f>IF(A140&lt;=input!$F$3, "False", IF(AND(A140&gt;input!$F$3,A140&lt;=(input!$F$3+input!$C$5)), "True", ""))</f>
        <v/>
      </c>
      <c r="D140" s="26" t="str">
        <f>IF(A140="","",IF(C140="False",FV(input!$C$10,A140,-input!$F$16,,input!$C$7),G139))</f>
        <v/>
      </c>
      <c r="E140" s="26" t="str">
        <f>IF(Table1[[#This Row],[Period]]="","",Table1[[#This Row],[Balance]]*profit_rate)</f>
        <v/>
      </c>
      <c r="F140" s="26" t="str">
        <f>IF(A140="","",IF(A140&gt;=input!$F$3, input!$F$12,0))</f>
        <v/>
      </c>
      <c r="G140" s="26" t="str">
        <f>IF(F140="","",D140-F140+Table1[[#This Row],[Interest]])</f>
        <v/>
      </c>
    </row>
    <row r="141" spans="1:7" hidden="1" x14ac:dyDescent="0.25">
      <c r="A141" s="20" t="str">
        <f>IF(A140="","",IF(A140+2&gt;input!$F$3+input!$C$5, "", A140+1))</f>
        <v/>
      </c>
      <c r="B141" s="20" t="str">
        <f t="shared" si="4"/>
        <v/>
      </c>
      <c r="C141" s="20" t="str">
        <f>IF(A141&lt;=input!$F$3, "False", IF(AND(A141&gt;input!$F$3,A141&lt;=(input!$F$3+input!$C$5)), "True", ""))</f>
        <v/>
      </c>
      <c r="D141" s="26" t="str">
        <f>IF(A141="","",IF(C141="False",FV(input!$C$10,A141,-input!$F$16,,input!$C$7),G140))</f>
        <v/>
      </c>
      <c r="E141" s="26" t="str">
        <f>IF(Table1[[#This Row],[Period]]="","",Table1[[#This Row],[Balance]]*profit_rate)</f>
        <v/>
      </c>
      <c r="F141" s="26" t="str">
        <f>IF(A141="","",IF(A141&gt;=input!$F$3, input!$F$12,0))</f>
        <v/>
      </c>
      <c r="G141" s="26" t="str">
        <f>IF(F141="","",D141-F141+Table1[[#This Row],[Interest]])</f>
        <v/>
      </c>
    </row>
    <row r="142" spans="1:7" hidden="1" x14ac:dyDescent="0.25">
      <c r="A142" s="20" t="str">
        <f>IF(A141="","",IF(A141+2&gt;input!$F$3+input!$C$5, "", A141+1))</f>
        <v/>
      </c>
      <c r="B142" s="20" t="str">
        <f t="shared" si="4"/>
        <v/>
      </c>
      <c r="C142" s="20" t="str">
        <f>IF(A142&lt;=input!$F$3, "False", IF(AND(A142&gt;input!$F$3,A142&lt;=(input!$F$3+input!$C$5)), "True", ""))</f>
        <v/>
      </c>
      <c r="D142" s="26" t="str">
        <f>IF(A142="","",IF(C142="False",FV(input!$C$10,A142,-input!$F$16,,input!$C$7),G141))</f>
        <v/>
      </c>
      <c r="E142" s="26" t="str">
        <f>IF(Table1[[#This Row],[Period]]="","",Table1[[#This Row],[Balance]]*profit_rate)</f>
        <v/>
      </c>
      <c r="F142" s="26" t="str">
        <f>IF(A142="","",IF(A142&gt;=input!$F$3, input!$F$12,0))</f>
        <v/>
      </c>
      <c r="G142" s="26" t="str">
        <f>IF(F142="","",D142-F142+Table1[[#This Row],[Interest]])</f>
        <v/>
      </c>
    </row>
    <row r="143" spans="1:7" hidden="1" x14ac:dyDescent="0.25">
      <c r="A143" s="20" t="str">
        <f>IF(A142="","",IF(A142+2&gt;input!$F$3+input!$C$5, "", A142+1))</f>
        <v/>
      </c>
      <c r="B143" s="20" t="str">
        <f t="shared" si="4"/>
        <v/>
      </c>
      <c r="C143" s="20" t="str">
        <f>IF(A143&lt;=input!$F$3, "False", IF(AND(A143&gt;input!$F$3,A143&lt;=(input!$F$3+input!$C$5)), "True", ""))</f>
        <v/>
      </c>
      <c r="D143" s="26" t="str">
        <f>IF(A143="","",IF(C143="False",FV(input!$C$10,A143,-input!$F$16,,input!$C$7),G142))</f>
        <v/>
      </c>
      <c r="E143" s="26" t="str">
        <f>IF(Table1[[#This Row],[Period]]="","",Table1[[#This Row],[Balance]]*profit_rate)</f>
        <v/>
      </c>
      <c r="F143" s="26" t="str">
        <f>IF(A143="","",IF(A143&gt;=input!$F$3, input!$F$12,0))</f>
        <v/>
      </c>
      <c r="G143" s="26" t="str">
        <f>IF(F143="","",D143-F143+Table1[[#This Row],[Interest]])</f>
        <v/>
      </c>
    </row>
    <row r="144" spans="1:7" hidden="1" x14ac:dyDescent="0.25">
      <c r="A144" s="20" t="str">
        <f>IF(A143="","",IF(A143+2&gt;input!$F$3+input!$C$5, "", A143+1))</f>
        <v/>
      </c>
      <c r="B144" s="20" t="str">
        <f t="shared" si="4"/>
        <v/>
      </c>
      <c r="C144" s="20" t="str">
        <f>IF(A144&lt;=input!$F$3, "False", IF(AND(A144&gt;input!$F$3,A144&lt;=(input!$F$3+input!$C$5)), "True", ""))</f>
        <v/>
      </c>
      <c r="D144" s="26" t="str">
        <f>IF(A144="","",IF(C144="False",FV(input!$C$10,A144,-input!$F$16,,input!$C$7),G143))</f>
        <v/>
      </c>
      <c r="E144" s="26" t="str">
        <f>IF(Table1[[#This Row],[Period]]="","",Table1[[#This Row],[Balance]]*profit_rate)</f>
        <v/>
      </c>
      <c r="F144" s="26" t="str">
        <f>IF(A144="","",IF(A144&gt;=input!$F$3, input!$F$12,0))</f>
        <v/>
      </c>
      <c r="G144" s="26" t="str">
        <f>IF(F144="","",D144-F144+Table1[[#This Row],[Interest]])</f>
        <v/>
      </c>
    </row>
    <row r="145" spans="1:7" hidden="1" x14ac:dyDescent="0.25">
      <c r="A145" s="20" t="str">
        <f>IF(A144="","",IF(A144+2&gt;input!$F$3+input!$C$5, "", A144+1))</f>
        <v/>
      </c>
      <c r="B145" s="20" t="str">
        <f t="shared" si="4"/>
        <v/>
      </c>
      <c r="C145" s="20" t="str">
        <f>IF(A145&lt;=input!$F$3, "False", IF(AND(A145&gt;input!$F$3,A145&lt;=(input!$F$3+input!$C$5)), "True", ""))</f>
        <v/>
      </c>
      <c r="D145" s="26" t="str">
        <f>IF(A145="","",IF(C145="False",FV(input!$C$10,A145,-input!$F$16,,input!$C$7),G144))</f>
        <v/>
      </c>
      <c r="E145" s="26" t="str">
        <f>IF(Table1[[#This Row],[Period]]="","",Table1[[#This Row],[Balance]]*profit_rate)</f>
        <v/>
      </c>
      <c r="F145" s="26" t="str">
        <f>IF(A145="","",IF(A145&gt;=input!$F$3, input!$F$12,0))</f>
        <v/>
      </c>
      <c r="G145" s="26" t="str">
        <f>IF(F145="","",D145-F145+Table1[[#This Row],[Interest]])</f>
        <v/>
      </c>
    </row>
    <row r="146" spans="1:7" hidden="1" x14ac:dyDescent="0.25">
      <c r="A146" s="20" t="str">
        <f>IF(A145="","",IF(A145+2&gt;input!$F$3+input!$C$5, "", A145+1))</f>
        <v/>
      </c>
      <c r="B146" s="20" t="str">
        <f t="shared" si="4"/>
        <v/>
      </c>
      <c r="C146" s="20" t="str">
        <f>IF(A146&lt;=input!$F$3, "False", IF(AND(A146&gt;input!$F$3,A146&lt;=(input!$F$3+input!$C$5)), "True", ""))</f>
        <v/>
      </c>
      <c r="D146" s="26" t="str">
        <f>IF(A146="","",IF(C146="False",FV(input!$C$10,A146,-input!$F$16,,input!$C$7),G145))</f>
        <v/>
      </c>
      <c r="E146" s="26" t="str">
        <f>IF(Table1[[#This Row],[Period]]="","",Table1[[#This Row],[Balance]]*profit_rate)</f>
        <v/>
      </c>
      <c r="F146" s="26" t="str">
        <f>IF(A146="","",IF(A146&gt;=input!$F$3, input!$F$12,0))</f>
        <v/>
      </c>
      <c r="G146" s="26" t="str">
        <f>IF(F146="","",D146-F146+Table1[[#This Row],[Interest]])</f>
        <v/>
      </c>
    </row>
    <row r="147" spans="1:7" hidden="1" x14ac:dyDescent="0.25">
      <c r="A147" s="20" t="str">
        <f>IF(A146="","",IF(A146+2&gt;input!$F$3+input!$C$5, "", A146+1))</f>
        <v/>
      </c>
      <c r="B147" s="20" t="str">
        <f t="shared" si="4"/>
        <v/>
      </c>
      <c r="C147" s="20" t="str">
        <f>IF(A147&lt;=input!$F$3, "False", IF(AND(A147&gt;input!$F$3,A147&lt;=(input!$F$3+input!$C$5)), "True", ""))</f>
        <v/>
      </c>
      <c r="D147" s="26" t="str">
        <f>IF(A147="","",IF(C147="False",FV(input!$C$10,A147,-input!$F$16,,input!$C$7),G146))</f>
        <v/>
      </c>
      <c r="E147" s="26" t="str">
        <f>IF(Table1[[#This Row],[Period]]="","",Table1[[#This Row],[Balance]]*profit_rate)</f>
        <v/>
      </c>
      <c r="F147" s="26" t="str">
        <f>IF(A147="","",IF(A147&gt;=input!$F$3, input!$F$12,0))</f>
        <v/>
      </c>
      <c r="G147" s="26" t="str">
        <f>IF(F147="","",D147-F147+Table1[[#This Row],[Interest]])</f>
        <v/>
      </c>
    </row>
    <row r="148" spans="1:7" hidden="1" x14ac:dyDescent="0.25">
      <c r="A148" s="20" t="str">
        <f>IF(A147="","",IF(A147+2&gt;input!$F$3+input!$C$5, "", A147+1))</f>
        <v/>
      </c>
      <c r="B148" s="20" t="str">
        <f t="shared" si="4"/>
        <v/>
      </c>
      <c r="C148" s="20" t="str">
        <f>IF(A148&lt;=input!$F$3, "False", IF(AND(A148&gt;input!$F$3,A148&lt;=(input!$F$3+input!$C$5)), "True", ""))</f>
        <v/>
      </c>
      <c r="D148" s="26" t="str">
        <f>IF(A148="","",IF(C148="False",FV(input!$C$10,A148,-input!$F$16,,input!$C$7),G147))</f>
        <v/>
      </c>
      <c r="E148" s="26" t="str">
        <f>IF(Table1[[#This Row],[Period]]="","",Table1[[#This Row],[Balance]]*profit_rate)</f>
        <v/>
      </c>
      <c r="F148" s="26" t="str">
        <f>IF(A148="","",IF(A148&gt;=input!$F$3, input!$F$12,0))</f>
        <v/>
      </c>
      <c r="G148" s="26" t="str">
        <f>IF(F148="","",D148-F148+Table1[[#This Row],[Interest]])</f>
        <v/>
      </c>
    </row>
    <row r="149" spans="1:7" hidden="1" x14ac:dyDescent="0.25">
      <c r="A149" s="20" t="str">
        <f>IF(A148="","",IF(A148+2&gt;input!$F$3+input!$C$5, "", A148+1))</f>
        <v/>
      </c>
      <c r="B149" s="20" t="str">
        <f t="shared" si="4"/>
        <v/>
      </c>
      <c r="C149" s="20" t="str">
        <f>IF(A149&lt;=input!$F$3, "False", IF(AND(A149&gt;input!$F$3,A149&lt;=(input!$F$3+input!$C$5)), "True", ""))</f>
        <v/>
      </c>
      <c r="D149" s="26" t="str">
        <f>IF(A149="","",IF(C149="False",FV(input!$C$10,A149,-input!$F$16,,input!$C$7),G148))</f>
        <v/>
      </c>
      <c r="E149" s="26" t="str">
        <f>IF(Table1[[#This Row],[Period]]="","",Table1[[#This Row],[Balance]]*profit_rate)</f>
        <v/>
      </c>
      <c r="F149" s="26" t="str">
        <f>IF(A149="","",IF(A149&gt;=input!$F$3, input!$F$12,0))</f>
        <v/>
      </c>
      <c r="G149" s="26" t="str">
        <f>IF(F149="","",D149-F149+Table1[[#This Row],[Interest]])</f>
        <v/>
      </c>
    </row>
    <row r="150" spans="1:7" hidden="1" x14ac:dyDescent="0.25">
      <c r="A150" s="20" t="str">
        <f>IF(A149="","",IF(A149+2&gt;input!$F$3+input!$C$5, "", A149+1))</f>
        <v/>
      </c>
      <c r="B150" s="20" t="str">
        <f t="shared" si="4"/>
        <v/>
      </c>
      <c r="C150" s="20" t="str">
        <f>IF(A150&lt;=input!$F$3, "False", IF(AND(A150&gt;input!$F$3,A150&lt;=(input!$F$3+input!$C$5)), "True", ""))</f>
        <v/>
      </c>
      <c r="D150" s="26" t="str">
        <f>IF(A150="","",IF(C150="False",FV(input!$C$10,A150,-input!$F$16,,input!$C$7),G149))</f>
        <v/>
      </c>
      <c r="E150" s="26" t="str">
        <f>IF(Table1[[#This Row],[Period]]="","",Table1[[#This Row],[Balance]]*profit_rate)</f>
        <v/>
      </c>
      <c r="F150" s="26" t="str">
        <f>IF(A150="","",IF(A150&gt;=input!$F$3, input!$F$12,0))</f>
        <v/>
      </c>
      <c r="G150" s="26" t="str">
        <f>IF(F150="","",D150-F150+Table1[[#This Row],[Interest]])</f>
        <v/>
      </c>
    </row>
    <row r="151" spans="1:7" hidden="1" x14ac:dyDescent="0.25">
      <c r="A151" s="20" t="str">
        <f>IF(A150="","",IF(A150+2&gt;input!$F$3+input!$C$5, "", A150+1))</f>
        <v/>
      </c>
      <c r="B151" s="20" t="str">
        <f t="shared" si="4"/>
        <v/>
      </c>
      <c r="C151" s="20" t="str">
        <f>IF(A151&lt;=input!$F$3, "False", IF(AND(A151&gt;input!$F$3,A151&lt;=(input!$F$3+input!$C$5)), "True", ""))</f>
        <v/>
      </c>
      <c r="D151" s="26" t="str">
        <f>IF(A151="","",IF(C151="False",FV(input!$C$10,A151,-input!$F$16,,input!$C$7),G150))</f>
        <v/>
      </c>
      <c r="E151" s="26" t="str">
        <f>IF(Table1[[#This Row],[Period]]="","",Table1[[#This Row],[Balance]]*profit_rate)</f>
        <v/>
      </c>
      <c r="F151" s="26" t="str">
        <f>IF(A151="","",IF(A151&gt;=input!$F$3, input!$F$12,0))</f>
        <v/>
      </c>
      <c r="G151" s="26" t="str">
        <f>IF(F151="","",D151-F151+Table1[[#This Row],[Interest]])</f>
        <v/>
      </c>
    </row>
    <row r="152" spans="1:7" hidden="1" x14ac:dyDescent="0.25">
      <c r="A152" s="20" t="str">
        <f>IF(A151="","",IF(A151+2&gt;input!$F$3+input!$C$5, "", A151+1))</f>
        <v/>
      </c>
      <c r="B152" s="20" t="str">
        <f t="shared" si="4"/>
        <v/>
      </c>
      <c r="C152" s="20" t="str">
        <f>IF(A152&lt;=input!$F$3, "False", IF(AND(A152&gt;input!$F$3,A152&lt;=(input!$F$3+input!$C$5)), "True", ""))</f>
        <v/>
      </c>
      <c r="D152" s="26" t="str">
        <f>IF(A152="","",IF(C152="False",FV(input!$C$10,A152,-input!$F$16,,input!$C$7),G151))</f>
        <v/>
      </c>
      <c r="E152" s="26" t="str">
        <f>IF(Table1[[#This Row],[Period]]="","",Table1[[#This Row],[Balance]]*profit_rate)</f>
        <v/>
      </c>
      <c r="F152" s="26" t="str">
        <f>IF(A152="","",IF(A152&gt;=input!$F$3, input!$F$12,0))</f>
        <v/>
      </c>
      <c r="G152" s="26" t="str">
        <f>IF(F152="","",D152-F152+Table1[[#This Row],[Interest]])</f>
        <v/>
      </c>
    </row>
    <row r="153" spans="1:7" hidden="1" x14ac:dyDescent="0.25">
      <c r="A153" s="20" t="str">
        <f>IF(A152="","",IF(A152+2&gt;input!$F$3+input!$C$5, "", A152+1))</f>
        <v/>
      </c>
      <c r="B153" s="20" t="str">
        <f t="shared" si="4"/>
        <v/>
      </c>
      <c r="C153" s="20" t="str">
        <f>IF(A153&lt;=input!$F$3, "False", IF(AND(A153&gt;input!$F$3,A153&lt;=(input!$F$3+input!$C$5)), "True", ""))</f>
        <v/>
      </c>
      <c r="D153" s="26" t="str">
        <f>IF(A153="","",IF(C153="False",FV(input!$C$10,A153,-input!$F$16,,input!$C$7),G152))</f>
        <v/>
      </c>
      <c r="E153" s="26" t="str">
        <f>IF(Table1[[#This Row],[Period]]="","",Table1[[#This Row],[Balance]]*profit_rate)</f>
        <v/>
      </c>
      <c r="F153" s="26" t="str">
        <f>IF(A153="","",IF(A153&gt;=input!$F$3, input!$F$12,0))</f>
        <v/>
      </c>
      <c r="G153" s="26" t="str">
        <f>IF(F153="","",D153-F153+Table1[[#This Row],[Interest]])</f>
        <v/>
      </c>
    </row>
    <row r="154" spans="1:7" hidden="1" x14ac:dyDescent="0.25">
      <c r="A154" s="20" t="str">
        <f>IF(A153="","",IF(A153+2&gt;input!$F$3+input!$C$5, "", A153+1))</f>
        <v/>
      </c>
      <c r="B154" s="20" t="str">
        <f t="shared" si="4"/>
        <v/>
      </c>
      <c r="C154" s="20" t="str">
        <f>IF(A154&lt;=input!$F$3, "False", IF(AND(A154&gt;input!$F$3,A154&lt;=(input!$F$3+input!$C$5)), "True", ""))</f>
        <v/>
      </c>
      <c r="D154" s="26" t="str">
        <f>IF(A154="","",IF(C154="False",FV(input!$C$10,A154,-input!$F$16,,input!$C$7),G153))</f>
        <v/>
      </c>
      <c r="E154" s="26" t="str">
        <f>IF(Table1[[#This Row],[Period]]="","",Table1[[#This Row],[Balance]]*profit_rate)</f>
        <v/>
      </c>
      <c r="F154" s="26" t="str">
        <f>IF(A154="","",IF(A154&gt;=input!$F$3, input!$F$12,0))</f>
        <v/>
      </c>
      <c r="G154" s="26" t="str">
        <f>IF(F154="","",D154-F154+Table1[[#This Row],[Interest]])</f>
        <v/>
      </c>
    </row>
    <row r="155" spans="1:7" hidden="1" x14ac:dyDescent="0.25">
      <c r="A155" s="20" t="str">
        <f>IF(A154="","",IF(A154+2&gt;input!$F$3+input!$C$5, "", A154+1))</f>
        <v/>
      </c>
      <c r="B155" s="20" t="str">
        <f t="shared" si="4"/>
        <v/>
      </c>
      <c r="C155" s="20" t="str">
        <f>IF(A155&lt;=input!$F$3, "False", IF(AND(A155&gt;input!$F$3,A155&lt;=(input!$F$3+input!$C$5)), "True", ""))</f>
        <v/>
      </c>
      <c r="D155" s="26" t="str">
        <f>IF(A155="","",IF(C155="False",FV(input!$C$10,A155,-input!$F$16,,input!$C$7),G154))</f>
        <v/>
      </c>
      <c r="E155" s="26" t="str">
        <f>IF(Table1[[#This Row],[Period]]="","",Table1[[#This Row],[Balance]]*profit_rate)</f>
        <v/>
      </c>
      <c r="F155" s="26" t="str">
        <f>IF(A155="","",IF(A155&gt;=input!$F$3, input!$F$12,0))</f>
        <v/>
      </c>
      <c r="G155" s="26" t="str">
        <f>IF(F155="","",D155-F155+Table1[[#This Row],[Interest]])</f>
        <v/>
      </c>
    </row>
    <row r="156" spans="1:7" hidden="1" x14ac:dyDescent="0.25">
      <c r="A156" s="20" t="str">
        <f>IF(A155="","",IF(A155+2&gt;input!$F$3+input!$C$5, "", A155+1))</f>
        <v/>
      </c>
      <c r="B156" s="20" t="str">
        <f t="shared" si="4"/>
        <v/>
      </c>
      <c r="C156" s="20" t="str">
        <f>IF(A156&lt;=input!$F$3, "False", IF(AND(A156&gt;input!$F$3,A156&lt;=(input!$F$3+input!$C$5)), "True", ""))</f>
        <v/>
      </c>
      <c r="D156" s="26" t="str">
        <f>IF(A156="","",IF(C156="False",FV(input!$C$10,A156,-input!$F$16,,input!$C$7),G155))</f>
        <v/>
      </c>
      <c r="E156" s="26" t="str">
        <f>IF(Table1[[#This Row],[Period]]="","",Table1[[#This Row],[Balance]]*profit_rate)</f>
        <v/>
      </c>
      <c r="F156" s="26" t="str">
        <f>IF(A156="","",IF(A156&gt;=input!$F$3, input!$F$12,0))</f>
        <v/>
      </c>
      <c r="G156" s="26" t="str">
        <f>IF(F156="","",D156-F156+Table1[[#This Row],[Interest]])</f>
        <v/>
      </c>
    </row>
    <row r="157" spans="1:7" hidden="1" x14ac:dyDescent="0.25">
      <c r="A157" s="20" t="str">
        <f>IF(A156="","",IF(A156+2&gt;input!$F$3+input!$C$5, "", A156+1))</f>
        <v/>
      </c>
      <c r="B157" s="20" t="str">
        <f t="shared" si="4"/>
        <v/>
      </c>
      <c r="C157" s="20" t="str">
        <f>IF(A157&lt;=input!$F$3, "False", IF(AND(A157&gt;input!$F$3,A157&lt;=(input!$F$3+input!$C$5)), "True", ""))</f>
        <v/>
      </c>
      <c r="D157" s="26" t="str">
        <f>IF(A157="","",IF(C157="False",FV(input!$C$10,A157,-input!$F$16,,input!$C$7),G156))</f>
        <v/>
      </c>
      <c r="E157" s="26" t="str">
        <f>IF(Table1[[#This Row],[Period]]="","",Table1[[#This Row],[Balance]]*profit_rate)</f>
        <v/>
      </c>
      <c r="F157" s="26" t="str">
        <f>IF(A157="","",IF(A157&gt;=input!$F$3, input!$F$12,0))</f>
        <v/>
      </c>
      <c r="G157" s="26" t="str">
        <f>IF(F157="","",D157-F157+Table1[[#This Row],[Interest]])</f>
        <v/>
      </c>
    </row>
    <row r="158" spans="1:7" hidden="1" x14ac:dyDescent="0.25">
      <c r="A158" s="20" t="str">
        <f>IF(A157="","",IF(A157+2&gt;input!$F$3+input!$C$5, "", A157+1))</f>
        <v/>
      </c>
      <c r="B158" s="20" t="str">
        <f t="shared" si="4"/>
        <v/>
      </c>
      <c r="C158" s="20" t="str">
        <f>IF(A158&lt;=input!$F$3, "False", IF(AND(A158&gt;input!$F$3,A158&lt;=(input!$F$3+input!$C$5)), "True", ""))</f>
        <v/>
      </c>
      <c r="D158" s="26" t="str">
        <f>IF(A158="","",IF(C158="False",FV(input!$C$10,A158,-input!$F$16,,input!$C$7),G157))</f>
        <v/>
      </c>
      <c r="E158" s="26" t="str">
        <f>IF(Table1[[#This Row],[Period]]="","",Table1[[#This Row],[Balance]]*profit_rate)</f>
        <v/>
      </c>
      <c r="F158" s="26" t="str">
        <f>IF(A158="","",IF(A158&gt;=input!$F$3, input!$F$12,0))</f>
        <v/>
      </c>
      <c r="G158" s="26" t="str">
        <f>IF(F158="","",D158-F158+Table1[[#This Row],[Interest]])</f>
        <v/>
      </c>
    </row>
    <row r="159" spans="1:7" hidden="1" x14ac:dyDescent="0.25">
      <c r="A159" s="20" t="str">
        <f>IF(A158="","",IF(A158+2&gt;input!$F$3+input!$C$5, "", A158+1))</f>
        <v/>
      </c>
      <c r="B159" s="20" t="str">
        <f t="shared" si="4"/>
        <v/>
      </c>
      <c r="C159" s="20" t="str">
        <f>IF(A159&lt;=input!$F$3, "False", IF(AND(A159&gt;input!$F$3,A159&lt;=(input!$F$3+input!$C$5)), "True", ""))</f>
        <v/>
      </c>
      <c r="D159" s="26" t="str">
        <f>IF(A159="","",IF(C159="False",FV(input!$C$10,A159,-input!$F$16,,input!$C$7),G158))</f>
        <v/>
      </c>
      <c r="E159" s="26" t="str">
        <f>IF(Table1[[#This Row],[Period]]="","",Table1[[#This Row],[Balance]]*profit_rate)</f>
        <v/>
      </c>
      <c r="F159" s="26" t="str">
        <f>IF(A159="","",IF(A159&gt;=input!$F$3, input!$F$12,0))</f>
        <v/>
      </c>
      <c r="G159" s="26" t="str">
        <f>IF(F159="","",D159-F159+Table1[[#This Row],[Interest]])</f>
        <v/>
      </c>
    </row>
    <row r="160" spans="1:7" hidden="1" x14ac:dyDescent="0.25">
      <c r="A160" s="20" t="str">
        <f>IF(A159="","",IF(A159+2&gt;input!$F$3+input!$C$5, "", A159+1))</f>
        <v/>
      </c>
      <c r="B160" s="20" t="str">
        <f t="shared" si="4"/>
        <v/>
      </c>
      <c r="C160" s="20" t="str">
        <f>IF(A160&lt;=input!$F$3, "False", IF(AND(A160&gt;input!$F$3,A160&lt;=(input!$F$3+input!$C$5)), "True", ""))</f>
        <v/>
      </c>
      <c r="D160" s="26" t="str">
        <f>IF(A160="","",IF(C160="False",FV(input!$C$10,A160,-input!$F$16,,input!$C$7),G159))</f>
        <v/>
      </c>
      <c r="E160" s="26" t="str">
        <f>IF(Table1[[#This Row],[Period]]="","",Table1[[#This Row],[Balance]]*profit_rate)</f>
        <v/>
      </c>
      <c r="F160" s="26" t="str">
        <f>IF(A160="","",IF(A160&gt;=input!$F$3, input!$F$12,0))</f>
        <v/>
      </c>
      <c r="G160" s="26" t="str">
        <f>IF(F160="","",D160-F160+Table1[[#This Row],[Interest]])</f>
        <v/>
      </c>
    </row>
    <row r="161" spans="1:7" hidden="1" x14ac:dyDescent="0.25">
      <c r="A161" s="20" t="str">
        <f>IF(A160="","",IF(A160+2&gt;input!$F$3+input!$C$5, "", A160+1))</f>
        <v/>
      </c>
      <c r="B161" s="20" t="str">
        <f t="shared" si="4"/>
        <v/>
      </c>
      <c r="C161" s="20" t="str">
        <f>IF(A161&lt;=input!$F$3, "False", IF(AND(A161&gt;input!$F$3,A161&lt;=(input!$F$3+input!$C$5)), "True", ""))</f>
        <v/>
      </c>
      <c r="D161" s="26" t="str">
        <f>IF(A161="","",IF(C161="False",FV(input!$C$10,A161,-input!$F$16,,input!$C$7),G160))</f>
        <v/>
      </c>
      <c r="E161" s="26" t="str">
        <f>IF(Table1[[#This Row],[Period]]="","",Table1[[#This Row],[Balance]]*profit_rate)</f>
        <v/>
      </c>
      <c r="F161" s="26" t="str">
        <f>IF(A161="","",IF(A161&gt;=input!$F$3, input!$F$12,0))</f>
        <v/>
      </c>
      <c r="G161" s="26" t="str">
        <f>IF(F161="","",D161-F161+Table1[[#This Row],[Interest]])</f>
        <v/>
      </c>
    </row>
    <row r="162" spans="1:7" hidden="1" x14ac:dyDescent="0.25">
      <c r="A162" s="20" t="str">
        <f>IF(A161="","",IF(A161+2&gt;input!$F$3+input!$C$5, "", A161+1))</f>
        <v/>
      </c>
      <c r="B162" s="20" t="str">
        <f t="shared" si="4"/>
        <v/>
      </c>
      <c r="C162" s="20" t="str">
        <f>IF(A162&lt;=input!$F$3, "False", IF(AND(A162&gt;input!$F$3,A162&lt;=(input!$F$3+input!$C$5)), "True", ""))</f>
        <v/>
      </c>
      <c r="D162" s="26" t="str">
        <f>IF(A162="","",IF(C162="False",FV(input!$C$10,A162,-input!$F$16,,input!$C$7),G161))</f>
        <v/>
      </c>
      <c r="E162" s="26" t="str">
        <f>IF(Table1[[#This Row],[Period]]="","",Table1[[#This Row],[Balance]]*profit_rate)</f>
        <v/>
      </c>
      <c r="F162" s="26" t="str">
        <f>IF(A162="","",IF(A162&gt;=input!$F$3, input!$F$12,0))</f>
        <v/>
      </c>
      <c r="G162" s="26" t="str">
        <f>IF(F162="","",D162-F162+Table1[[#This Row],[Interest]])</f>
        <v/>
      </c>
    </row>
    <row r="163" spans="1:7" hidden="1" x14ac:dyDescent="0.25">
      <c r="A163" s="20" t="str">
        <f>IF(A162="","",IF(A162+2&gt;input!$F$3+input!$C$5, "", A162+1))</f>
        <v/>
      </c>
      <c r="B163" s="20" t="str">
        <f t="shared" ref="B163:B194" si="5">IF(A163="","",starting_year+(A163-1))</f>
        <v/>
      </c>
      <c r="C163" s="20" t="str">
        <f>IF(A163&lt;=input!$F$3, "False", IF(AND(A163&gt;input!$F$3,A163&lt;=(input!$F$3+input!$C$5)), "True", ""))</f>
        <v/>
      </c>
      <c r="D163" s="26" t="str">
        <f>IF(A163="","",IF(C163="False",FV(input!$C$10,A163,-input!$F$16,,input!$C$7),G162))</f>
        <v/>
      </c>
      <c r="E163" s="26" t="str">
        <f>IF(Table1[[#This Row],[Period]]="","",Table1[[#This Row],[Balance]]*profit_rate)</f>
        <v/>
      </c>
      <c r="F163" s="26" t="str">
        <f>IF(A163="","",IF(A163&gt;=input!$F$3, input!$F$12,0))</f>
        <v/>
      </c>
      <c r="G163" s="26" t="str">
        <f>IF(F163="","",D163-F163+Table1[[#This Row],[Interest]])</f>
        <v/>
      </c>
    </row>
    <row r="164" spans="1:7" hidden="1" x14ac:dyDescent="0.25">
      <c r="A164" s="20" t="str">
        <f>IF(A163="","",IF(A163+2&gt;input!$F$3+input!$C$5, "", A163+1))</f>
        <v/>
      </c>
      <c r="B164" s="20" t="str">
        <f t="shared" si="5"/>
        <v/>
      </c>
      <c r="C164" s="20" t="str">
        <f>IF(A164&lt;=input!$F$3, "False", IF(AND(A164&gt;input!$F$3,A164&lt;=(input!$F$3+input!$C$5)), "True", ""))</f>
        <v/>
      </c>
      <c r="D164" s="26" t="str">
        <f>IF(A164="","",IF(C164="False",FV(input!$C$10,A164,-input!$F$16,,input!$C$7),G163))</f>
        <v/>
      </c>
      <c r="E164" s="26" t="str">
        <f>IF(Table1[[#This Row],[Period]]="","",Table1[[#This Row],[Balance]]*profit_rate)</f>
        <v/>
      </c>
      <c r="F164" s="26" t="str">
        <f>IF(A164="","",IF(A164&gt;=input!$F$3, input!$F$12,0))</f>
        <v/>
      </c>
      <c r="G164" s="26" t="str">
        <f>IF(F164="","",D164-F164+Table1[[#This Row],[Interest]])</f>
        <v/>
      </c>
    </row>
    <row r="165" spans="1:7" hidden="1" x14ac:dyDescent="0.25">
      <c r="A165" s="20" t="str">
        <f>IF(A164="","",IF(A164+2&gt;input!$F$3+input!$C$5, "", A164+1))</f>
        <v/>
      </c>
      <c r="B165" s="20" t="str">
        <f t="shared" si="5"/>
        <v/>
      </c>
      <c r="C165" s="20" t="str">
        <f>IF(A165&lt;=input!$F$3, "False", IF(AND(A165&gt;input!$F$3,A165&lt;=(input!$F$3+input!$C$5)), "True", ""))</f>
        <v/>
      </c>
      <c r="D165" s="26" t="str">
        <f>IF(A165="","",IF(C165="False",FV(input!$C$10,A165,-input!$F$16,,input!$C$7),G164))</f>
        <v/>
      </c>
      <c r="E165" s="26" t="str">
        <f>IF(Table1[[#This Row],[Period]]="","",Table1[[#This Row],[Balance]]*profit_rate)</f>
        <v/>
      </c>
      <c r="F165" s="26" t="str">
        <f>IF(A165="","",IF(A165&gt;=input!$F$3, input!$F$12,0))</f>
        <v/>
      </c>
      <c r="G165" s="26" t="str">
        <f>IF(F165="","",D165-F165+Table1[[#This Row],[Interest]])</f>
        <v/>
      </c>
    </row>
    <row r="166" spans="1:7" hidden="1" x14ac:dyDescent="0.25">
      <c r="A166" s="20" t="str">
        <f>IF(A165="","",IF(A165+2&gt;input!$F$3+input!$C$5, "", A165+1))</f>
        <v/>
      </c>
      <c r="B166" s="20" t="str">
        <f t="shared" si="5"/>
        <v/>
      </c>
      <c r="C166" s="20" t="str">
        <f>IF(A166&lt;=input!$F$3, "False", IF(AND(A166&gt;input!$F$3,A166&lt;=(input!$F$3+input!$C$5)), "True", ""))</f>
        <v/>
      </c>
      <c r="D166" s="26" t="str">
        <f>IF(A166="","",IF(C166="False",FV(input!$C$10,A166,-input!$F$16,,input!$C$7),G165))</f>
        <v/>
      </c>
      <c r="E166" s="26" t="str">
        <f>IF(Table1[[#This Row],[Period]]="","",Table1[[#This Row],[Balance]]*profit_rate)</f>
        <v/>
      </c>
      <c r="F166" s="26" t="str">
        <f>IF(A166="","",IF(A166&gt;=input!$F$3, input!$F$12,0))</f>
        <v/>
      </c>
      <c r="G166" s="26" t="str">
        <f>IF(F166="","",D166-F166+Table1[[#This Row],[Interest]])</f>
        <v/>
      </c>
    </row>
    <row r="167" spans="1:7" hidden="1" x14ac:dyDescent="0.25">
      <c r="A167" s="20" t="str">
        <f>IF(A166="","",IF(A166+2&gt;input!$F$3+input!$C$5, "", A166+1))</f>
        <v/>
      </c>
      <c r="B167" s="20" t="str">
        <f t="shared" si="5"/>
        <v/>
      </c>
      <c r="C167" s="20" t="str">
        <f>IF(A167&lt;=input!$F$3, "False", IF(AND(A167&gt;input!$F$3,A167&lt;=(input!$F$3+input!$C$5)), "True", ""))</f>
        <v/>
      </c>
      <c r="D167" s="26" t="str">
        <f>IF(A167="","",IF(C167="False",FV(input!$C$10,A167,-input!$F$16,,input!$C$7),G166))</f>
        <v/>
      </c>
      <c r="E167" s="26" t="str">
        <f>IF(Table1[[#This Row],[Period]]="","",Table1[[#This Row],[Balance]]*profit_rate)</f>
        <v/>
      </c>
      <c r="F167" s="26" t="str">
        <f>IF(A167="","",IF(A167&gt;=input!$F$3, input!$F$12,0))</f>
        <v/>
      </c>
      <c r="G167" s="26" t="str">
        <f>IF(F167="","",D167-F167+Table1[[#This Row],[Interest]])</f>
        <v/>
      </c>
    </row>
    <row r="168" spans="1:7" hidden="1" x14ac:dyDescent="0.25">
      <c r="A168" s="20" t="str">
        <f>IF(A167="","",IF(A167+2&gt;input!$F$3+input!$C$5, "", A167+1))</f>
        <v/>
      </c>
      <c r="B168" s="20" t="str">
        <f t="shared" si="5"/>
        <v/>
      </c>
      <c r="C168" s="20" t="str">
        <f>IF(A168&lt;=input!$F$3, "False", IF(AND(A168&gt;input!$F$3,A168&lt;=(input!$F$3+input!$C$5)), "True", ""))</f>
        <v/>
      </c>
      <c r="D168" s="26" t="str">
        <f>IF(A168="","",IF(C168="False",FV(input!$C$10,A168,-input!$F$16,,input!$C$7),G167))</f>
        <v/>
      </c>
      <c r="E168" s="26" t="str">
        <f>IF(Table1[[#This Row],[Period]]="","",Table1[[#This Row],[Balance]]*profit_rate)</f>
        <v/>
      </c>
      <c r="F168" s="26" t="str">
        <f>IF(A168="","",IF(A168&gt;=input!$F$3, input!$F$12,0))</f>
        <v/>
      </c>
      <c r="G168" s="26" t="str">
        <f>IF(F168="","",D168-F168+Table1[[#This Row],[Interest]])</f>
        <v/>
      </c>
    </row>
    <row r="169" spans="1:7" hidden="1" x14ac:dyDescent="0.25">
      <c r="A169" s="20" t="str">
        <f>IF(A168="","",IF(A168+2&gt;input!$F$3+input!$C$5, "", A168+1))</f>
        <v/>
      </c>
      <c r="B169" s="20" t="str">
        <f t="shared" si="5"/>
        <v/>
      </c>
      <c r="C169" s="20" t="str">
        <f>IF(A169&lt;=input!$F$3, "False", IF(AND(A169&gt;input!$F$3,A169&lt;=(input!$F$3+input!$C$5)), "True", ""))</f>
        <v/>
      </c>
      <c r="D169" s="26" t="str">
        <f>IF(A169="","",IF(C169="False",FV(input!$C$10,A169,-input!$F$16,,input!$C$7),G168))</f>
        <v/>
      </c>
      <c r="E169" s="26" t="str">
        <f>IF(Table1[[#This Row],[Period]]="","",Table1[[#This Row],[Balance]]*profit_rate)</f>
        <v/>
      </c>
      <c r="F169" s="26" t="str">
        <f>IF(A169="","",IF(A169&gt;=input!$F$3, input!$F$12,0))</f>
        <v/>
      </c>
      <c r="G169" s="26" t="str">
        <f>IF(F169="","",D169-F169+Table1[[#This Row],[Interest]])</f>
        <v/>
      </c>
    </row>
    <row r="170" spans="1:7" hidden="1" x14ac:dyDescent="0.25">
      <c r="A170" s="20" t="str">
        <f>IF(A169="","",IF(A169+2&gt;input!$F$3+input!$C$5, "", A169+1))</f>
        <v/>
      </c>
      <c r="B170" s="20" t="str">
        <f t="shared" si="5"/>
        <v/>
      </c>
      <c r="C170" s="20" t="str">
        <f>IF(A170&lt;=input!$F$3, "False", IF(AND(A170&gt;input!$F$3,A170&lt;=(input!$F$3+input!$C$5)), "True", ""))</f>
        <v/>
      </c>
      <c r="D170" s="26" t="str">
        <f>IF(A170="","",IF(C170="False",FV(input!$C$10,A170,-input!$F$16,,input!$C$7),G169))</f>
        <v/>
      </c>
      <c r="E170" s="26" t="str">
        <f>IF(Table1[[#This Row],[Period]]="","",Table1[[#This Row],[Balance]]*profit_rate)</f>
        <v/>
      </c>
      <c r="F170" s="26" t="str">
        <f>IF(A170="","",IF(A170&gt;=input!$F$3, input!$F$12,0))</f>
        <v/>
      </c>
      <c r="G170" s="26" t="str">
        <f>IF(F170="","",D170-F170+Table1[[#This Row],[Interest]])</f>
        <v/>
      </c>
    </row>
    <row r="171" spans="1:7" hidden="1" x14ac:dyDescent="0.25">
      <c r="A171" s="20" t="str">
        <f>IF(A170="","",IF(A170+2&gt;input!$F$3+input!$C$5, "", A170+1))</f>
        <v/>
      </c>
      <c r="B171" s="20" t="str">
        <f t="shared" si="5"/>
        <v/>
      </c>
      <c r="C171" s="20" t="str">
        <f>IF(A171&lt;=input!$F$3, "False", IF(AND(A171&gt;input!$F$3,A171&lt;=(input!$F$3+input!$C$5)), "True", ""))</f>
        <v/>
      </c>
      <c r="D171" s="26" t="str">
        <f>IF(A171="","",IF(C171="False",FV(input!$C$10,A171,-input!$F$16,,input!$C$7),G170))</f>
        <v/>
      </c>
      <c r="E171" s="26" t="str">
        <f>IF(Table1[[#This Row],[Period]]="","",Table1[[#This Row],[Balance]]*profit_rate)</f>
        <v/>
      </c>
      <c r="F171" s="26" t="str">
        <f>IF(A171="","",IF(A171&gt;=input!$F$3, input!$F$12,0))</f>
        <v/>
      </c>
      <c r="G171" s="26" t="str">
        <f>IF(F171="","",D171-F171+Table1[[#This Row],[Interest]])</f>
        <v/>
      </c>
    </row>
    <row r="172" spans="1:7" hidden="1" x14ac:dyDescent="0.25">
      <c r="A172" s="20" t="str">
        <f>IF(A171="","",IF(A171+2&gt;input!$F$3+input!$C$5, "", A171+1))</f>
        <v/>
      </c>
      <c r="B172" s="20" t="str">
        <f t="shared" si="5"/>
        <v/>
      </c>
      <c r="C172" s="20" t="str">
        <f>IF(A172&lt;=input!$F$3, "False", IF(AND(A172&gt;input!$F$3,A172&lt;=(input!$F$3+input!$C$5)), "True", ""))</f>
        <v/>
      </c>
      <c r="D172" s="26" t="str">
        <f>IF(A172="","",IF(C172="False",FV(input!$C$10,A172,-input!$F$16,,input!$C$7),G171))</f>
        <v/>
      </c>
      <c r="E172" s="26" t="str">
        <f>IF(Table1[[#This Row],[Period]]="","",Table1[[#This Row],[Balance]]*profit_rate)</f>
        <v/>
      </c>
      <c r="F172" s="26" t="str">
        <f>IF(A172="","",IF(A172&gt;=input!$F$3, input!$F$12,0))</f>
        <v/>
      </c>
      <c r="G172" s="26" t="str">
        <f>IF(F172="","",D172-F172+Table1[[#This Row],[Interest]])</f>
        <v/>
      </c>
    </row>
    <row r="173" spans="1:7" hidden="1" x14ac:dyDescent="0.25">
      <c r="A173" s="20" t="str">
        <f>IF(A172="","",IF(A172+2&gt;input!$F$3+input!$C$5, "", A172+1))</f>
        <v/>
      </c>
      <c r="B173" s="20" t="str">
        <f t="shared" si="5"/>
        <v/>
      </c>
      <c r="C173" s="20" t="str">
        <f>IF(A173&lt;=input!$F$3, "False", IF(AND(A173&gt;input!$F$3,A173&lt;=(input!$F$3+input!$C$5)), "True", ""))</f>
        <v/>
      </c>
      <c r="D173" s="26" t="str">
        <f>IF(A173="","",IF(C173="False",FV(input!$C$10,A173,-input!$F$16,,input!$C$7),G172))</f>
        <v/>
      </c>
      <c r="E173" s="26" t="str">
        <f>IF(Table1[[#This Row],[Period]]="","",Table1[[#This Row],[Balance]]*profit_rate)</f>
        <v/>
      </c>
      <c r="F173" s="26" t="str">
        <f>IF(A173="","",IF(A173&gt;=input!$F$3, input!$F$12,0))</f>
        <v/>
      </c>
      <c r="G173" s="26" t="str">
        <f>IF(F173="","",D173-F173+Table1[[#This Row],[Interest]])</f>
        <v/>
      </c>
    </row>
    <row r="174" spans="1:7" hidden="1" x14ac:dyDescent="0.25">
      <c r="A174" s="20" t="str">
        <f>IF(A173="","",IF(A173+2&gt;input!$F$3+input!$C$5, "", A173+1))</f>
        <v/>
      </c>
      <c r="B174" s="20" t="str">
        <f t="shared" si="5"/>
        <v/>
      </c>
      <c r="C174" s="20" t="str">
        <f>IF(A174&lt;=input!$F$3, "False", IF(AND(A174&gt;input!$F$3,A174&lt;=(input!$F$3+input!$C$5)), "True", ""))</f>
        <v/>
      </c>
      <c r="D174" s="26" t="str">
        <f>IF(A174="","",IF(C174="False",FV(input!$C$10,A174,-input!$F$16,,input!$C$7),G173))</f>
        <v/>
      </c>
      <c r="E174" s="26" t="str">
        <f>IF(Table1[[#This Row],[Period]]="","",Table1[[#This Row],[Balance]]*profit_rate)</f>
        <v/>
      </c>
      <c r="F174" s="26" t="str">
        <f>IF(A174="","",IF(A174&gt;=input!$F$3, input!$F$12,0))</f>
        <v/>
      </c>
      <c r="G174" s="26" t="str">
        <f>IF(F174="","",D174-F174+Table1[[#This Row],[Interest]])</f>
        <v/>
      </c>
    </row>
    <row r="175" spans="1:7" hidden="1" x14ac:dyDescent="0.25">
      <c r="A175" s="20" t="str">
        <f>IF(A174="","",IF(A174+2&gt;input!$F$3+input!$C$5, "", A174+1))</f>
        <v/>
      </c>
      <c r="B175" s="20" t="str">
        <f t="shared" si="5"/>
        <v/>
      </c>
      <c r="C175" s="20" t="str">
        <f>IF(A175&lt;=input!$F$3, "False", IF(AND(A175&gt;input!$F$3,A175&lt;=(input!$F$3+input!$C$5)), "True", ""))</f>
        <v/>
      </c>
      <c r="D175" s="26" t="str">
        <f>IF(A175="","",IF(C175="False",FV(input!$C$10,A175,-input!$F$16,,input!$C$7),G174))</f>
        <v/>
      </c>
      <c r="E175" s="26" t="str">
        <f>IF(Table1[[#This Row],[Period]]="","",Table1[[#This Row],[Balance]]*profit_rate)</f>
        <v/>
      </c>
      <c r="F175" s="26" t="str">
        <f>IF(A175="","",IF(A175&gt;=input!$F$3, input!$F$12,0))</f>
        <v/>
      </c>
      <c r="G175" s="26" t="str">
        <f>IF(F175="","",D175-F175+Table1[[#This Row],[Interest]])</f>
        <v/>
      </c>
    </row>
    <row r="176" spans="1:7" hidden="1" x14ac:dyDescent="0.25">
      <c r="A176" s="20" t="str">
        <f>IF(A175="","",IF(A175+2&gt;input!$F$3+input!$C$5, "", A175+1))</f>
        <v/>
      </c>
      <c r="B176" s="20" t="str">
        <f t="shared" si="5"/>
        <v/>
      </c>
      <c r="C176" s="20" t="str">
        <f>IF(A176&lt;=input!$F$3, "False", IF(AND(A176&gt;input!$F$3,A176&lt;=(input!$F$3+input!$C$5)), "True", ""))</f>
        <v/>
      </c>
      <c r="D176" s="26" t="str">
        <f>IF(A176="","",IF(C176="False",FV(input!$C$10,A176,-input!$F$16,,input!$C$7),G175))</f>
        <v/>
      </c>
      <c r="E176" s="26" t="str">
        <f>IF(Table1[[#This Row],[Period]]="","",Table1[[#This Row],[Balance]]*profit_rate)</f>
        <v/>
      </c>
      <c r="F176" s="26" t="str">
        <f>IF(A176="","",IF(A176&gt;=input!$F$3, input!$F$12,0))</f>
        <v/>
      </c>
      <c r="G176" s="26" t="str">
        <f>IF(F176="","",D176-F176+Table1[[#This Row],[Interest]])</f>
        <v/>
      </c>
    </row>
    <row r="177" spans="1:7" hidden="1" x14ac:dyDescent="0.25">
      <c r="A177" s="20" t="str">
        <f>IF(A176="","",IF(A176+2&gt;input!$F$3+input!$C$5, "", A176+1))</f>
        <v/>
      </c>
      <c r="B177" s="20" t="str">
        <f t="shared" si="5"/>
        <v/>
      </c>
      <c r="C177" s="20" t="str">
        <f>IF(A177&lt;=input!$F$3, "False", IF(AND(A177&gt;input!$F$3,A177&lt;=(input!$F$3+input!$C$5)), "True", ""))</f>
        <v/>
      </c>
      <c r="D177" s="26" t="str">
        <f>IF(A177="","",IF(C177="False",FV(input!$C$10,A177,-input!$F$16,,input!$C$7),G176))</f>
        <v/>
      </c>
      <c r="E177" s="26" t="str">
        <f>IF(Table1[[#This Row],[Period]]="","",Table1[[#This Row],[Balance]]*profit_rate)</f>
        <v/>
      </c>
      <c r="F177" s="26" t="str">
        <f>IF(A177="","",IF(A177&gt;=input!$F$3, input!$F$12,0))</f>
        <v/>
      </c>
      <c r="G177" s="26" t="str">
        <f>IF(F177="","",D177-F177+Table1[[#This Row],[Interest]])</f>
        <v/>
      </c>
    </row>
    <row r="178" spans="1:7" hidden="1" x14ac:dyDescent="0.25">
      <c r="A178" s="20" t="str">
        <f>IF(A177="","",IF(A177+2&gt;input!$F$3+input!$C$5, "", A177+1))</f>
        <v/>
      </c>
      <c r="B178" s="20" t="str">
        <f t="shared" si="5"/>
        <v/>
      </c>
      <c r="C178" s="20" t="str">
        <f>IF(A178&lt;=input!$F$3, "False", IF(AND(A178&gt;input!$F$3,A178&lt;=(input!$F$3+input!$C$5)), "True", ""))</f>
        <v/>
      </c>
      <c r="D178" s="26" t="str">
        <f>IF(A178="","",IF(C178="False",FV(input!$C$10,A178,-input!$F$16,,input!$C$7),G177))</f>
        <v/>
      </c>
      <c r="E178" s="26" t="str">
        <f>IF(Table1[[#This Row],[Period]]="","",Table1[[#This Row],[Balance]]*profit_rate)</f>
        <v/>
      </c>
      <c r="F178" s="26" t="str">
        <f>IF(A178="","",IF(A178&gt;=input!$F$3, input!$F$12,0))</f>
        <v/>
      </c>
      <c r="G178" s="26" t="str">
        <f>IF(F178="","",D178-F178+Table1[[#This Row],[Interest]])</f>
        <v/>
      </c>
    </row>
    <row r="179" spans="1:7" hidden="1" x14ac:dyDescent="0.25">
      <c r="A179" s="20" t="str">
        <f>IF(A178="","",IF(A178+2&gt;input!$F$3+input!$C$5, "", A178+1))</f>
        <v/>
      </c>
      <c r="B179" s="20" t="str">
        <f t="shared" si="5"/>
        <v/>
      </c>
      <c r="C179" s="20" t="str">
        <f>IF(A179&lt;=input!$F$3, "False", IF(AND(A179&gt;input!$F$3,A179&lt;=(input!$F$3+input!$C$5)), "True", ""))</f>
        <v/>
      </c>
      <c r="D179" s="26" t="str">
        <f>IF(A179="","",IF(C179="False",FV(input!$C$10,A179,-input!$F$16,,input!$C$7),G178))</f>
        <v/>
      </c>
      <c r="E179" s="26" t="str">
        <f>IF(Table1[[#This Row],[Period]]="","",Table1[[#This Row],[Balance]]*profit_rate)</f>
        <v/>
      </c>
      <c r="F179" s="26" t="str">
        <f>IF(A179="","",IF(A179&gt;=input!$F$3, input!$F$12,0))</f>
        <v/>
      </c>
      <c r="G179" s="26" t="str">
        <f>IF(F179="","",D179-F179+Table1[[#This Row],[Interest]])</f>
        <v/>
      </c>
    </row>
    <row r="180" spans="1:7" hidden="1" x14ac:dyDescent="0.25">
      <c r="A180" s="20" t="str">
        <f>IF(A179="","",IF(A179+2&gt;input!$F$3+input!$C$5, "", A179+1))</f>
        <v/>
      </c>
      <c r="B180" s="20" t="str">
        <f t="shared" si="5"/>
        <v/>
      </c>
      <c r="C180" s="20" t="str">
        <f>IF(A180&lt;=input!$F$3, "False", IF(AND(A180&gt;input!$F$3,A180&lt;=(input!$F$3+input!$C$5)), "True", ""))</f>
        <v/>
      </c>
      <c r="D180" s="26" t="str">
        <f>IF(A180="","",IF(C180="False",FV(input!$C$10,A180,-input!$F$16,,input!$C$7),G179))</f>
        <v/>
      </c>
      <c r="E180" s="26" t="str">
        <f>IF(Table1[[#This Row],[Period]]="","",Table1[[#This Row],[Balance]]*profit_rate)</f>
        <v/>
      </c>
      <c r="F180" s="26" t="str">
        <f>IF(A180="","",IF(A180&gt;=input!$F$3, input!$F$12,0))</f>
        <v/>
      </c>
      <c r="G180" s="26" t="str">
        <f>IF(F180="","",D180-F180+Table1[[#This Row],[Interest]])</f>
        <v/>
      </c>
    </row>
    <row r="181" spans="1:7" hidden="1" x14ac:dyDescent="0.25">
      <c r="A181" s="20" t="str">
        <f>IF(A180="","",IF(A180+2&gt;input!$F$3+input!$C$5, "", A180+1))</f>
        <v/>
      </c>
      <c r="B181" s="20" t="str">
        <f t="shared" si="5"/>
        <v/>
      </c>
      <c r="C181" s="20" t="str">
        <f>IF(A181&lt;=input!$F$3, "False", IF(AND(A181&gt;input!$F$3,A181&lt;=(input!$F$3+input!$C$5)), "True", ""))</f>
        <v/>
      </c>
      <c r="D181" s="26" t="str">
        <f>IF(A181="","",IF(C181="False",FV(input!$C$10,A181,-input!$F$16,,input!$C$7),G180))</f>
        <v/>
      </c>
      <c r="E181" s="26" t="str">
        <f>IF(Table1[[#This Row],[Period]]="","",Table1[[#This Row],[Balance]]*profit_rate)</f>
        <v/>
      </c>
      <c r="F181" s="26" t="str">
        <f>IF(A181="","",IF(A181&gt;=input!$F$3, input!$F$12,0))</f>
        <v/>
      </c>
      <c r="G181" s="26" t="str">
        <f>IF(F181="","",D181-F181+Table1[[#This Row],[Interest]])</f>
        <v/>
      </c>
    </row>
    <row r="182" spans="1:7" hidden="1" x14ac:dyDescent="0.25">
      <c r="A182" s="20" t="str">
        <f>IF(A181="","",IF(A181+2&gt;input!$F$3+input!$C$5, "", A181+1))</f>
        <v/>
      </c>
      <c r="B182" s="20" t="str">
        <f t="shared" si="5"/>
        <v/>
      </c>
      <c r="C182" s="20" t="str">
        <f>IF(A182&lt;=input!$F$3, "False", IF(AND(A182&gt;input!$F$3,A182&lt;=(input!$F$3+input!$C$5)), "True", ""))</f>
        <v/>
      </c>
      <c r="D182" s="26" t="str">
        <f>IF(A182="","",IF(C182="False",FV(input!$C$10,A182,-input!$F$16,,input!$C$7),G181))</f>
        <v/>
      </c>
      <c r="E182" s="26" t="str">
        <f>IF(Table1[[#This Row],[Period]]="","",Table1[[#This Row],[Balance]]*profit_rate)</f>
        <v/>
      </c>
      <c r="F182" s="26" t="str">
        <f>IF(A182="","",IF(A182&gt;=input!$F$3, input!$F$12,0))</f>
        <v/>
      </c>
      <c r="G182" s="26" t="str">
        <f>IF(F182="","",D182-F182+Table1[[#This Row],[Interest]])</f>
        <v/>
      </c>
    </row>
    <row r="183" spans="1:7" hidden="1" x14ac:dyDescent="0.25">
      <c r="A183" s="20" t="str">
        <f>IF(A182="","",IF(A182+2&gt;input!$F$3+input!$C$5, "", A182+1))</f>
        <v/>
      </c>
      <c r="B183" s="20" t="str">
        <f t="shared" si="5"/>
        <v/>
      </c>
      <c r="C183" s="20" t="str">
        <f>IF(A183&lt;=input!$F$3, "False", IF(AND(A183&gt;input!$F$3,A183&lt;=(input!$F$3+input!$C$5)), "True", ""))</f>
        <v/>
      </c>
      <c r="D183" s="26" t="str">
        <f>IF(A183="","",IF(C183="False",FV(input!$C$10,A183,-input!$F$16,,input!$C$7),G182))</f>
        <v/>
      </c>
      <c r="E183" s="26" t="str">
        <f>IF(Table1[[#This Row],[Period]]="","",Table1[[#This Row],[Balance]]*profit_rate)</f>
        <v/>
      </c>
      <c r="F183" s="26" t="str">
        <f>IF(A183="","",IF(A183&gt;=input!$F$3, input!$F$12,0))</f>
        <v/>
      </c>
      <c r="G183" s="26" t="str">
        <f>IF(F183="","",D183-F183+Table1[[#This Row],[Interest]])</f>
        <v/>
      </c>
    </row>
    <row r="184" spans="1:7" hidden="1" x14ac:dyDescent="0.25">
      <c r="A184" s="20" t="str">
        <f>IF(A183="","",IF(A183+2&gt;input!$F$3+input!$C$5, "", A183+1))</f>
        <v/>
      </c>
      <c r="B184" s="20" t="str">
        <f t="shared" si="5"/>
        <v/>
      </c>
      <c r="C184" s="20" t="str">
        <f>IF(A184&lt;=input!$F$3, "False", IF(AND(A184&gt;input!$F$3,A184&lt;=(input!$F$3+input!$C$5)), "True", ""))</f>
        <v/>
      </c>
      <c r="D184" s="26" t="str">
        <f>IF(A184="","",IF(C184="False",FV(input!$C$10,A184,-input!$F$16,,input!$C$7),G183))</f>
        <v/>
      </c>
      <c r="E184" s="26" t="str">
        <f>IF(Table1[[#This Row],[Period]]="","",Table1[[#This Row],[Balance]]*profit_rate)</f>
        <v/>
      </c>
      <c r="F184" s="26" t="str">
        <f>IF(A184="","",IF(A184&gt;=input!$F$3, input!$F$12,0))</f>
        <v/>
      </c>
      <c r="G184" s="26" t="str">
        <f>IF(F184="","",D184-F184+Table1[[#This Row],[Interest]])</f>
        <v/>
      </c>
    </row>
    <row r="185" spans="1:7" hidden="1" x14ac:dyDescent="0.25">
      <c r="A185" s="20" t="str">
        <f>IF(A184="","",IF(A184+2&gt;input!$F$3+input!$C$5, "", A184+1))</f>
        <v/>
      </c>
      <c r="B185" s="20" t="str">
        <f t="shared" si="5"/>
        <v/>
      </c>
      <c r="C185" s="20" t="str">
        <f>IF(A185&lt;=input!$F$3, "False", IF(AND(A185&gt;input!$F$3,A185&lt;=(input!$F$3+input!$C$5)), "True", ""))</f>
        <v/>
      </c>
      <c r="D185" s="26" t="str">
        <f>IF(A185="","",IF(C185="False",FV(input!$C$10,A185,-input!$F$16,,input!$C$7),G184))</f>
        <v/>
      </c>
      <c r="E185" s="26" t="str">
        <f>IF(Table1[[#This Row],[Period]]="","",Table1[[#This Row],[Balance]]*profit_rate)</f>
        <v/>
      </c>
      <c r="F185" s="26" t="str">
        <f>IF(A185="","",IF(A185&gt;=input!$F$3, input!$F$12,0))</f>
        <v/>
      </c>
      <c r="G185" s="26" t="str">
        <f>IF(F185="","",D185-F185+Table1[[#This Row],[Interest]])</f>
        <v/>
      </c>
    </row>
    <row r="186" spans="1:7" hidden="1" x14ac:dyDescent="0.25">
      <c r="A186" s="20" t="str">
        <f>IF(A185="","",IF(A185+2&gt;input!$F$3+input!$C$5, "", A185+1))</f>
        <v/>
      </c>
      <c r="B186" s="20" t="str">
        <f t="shared" si="5"/>
        <v/>
      </c>
      <c r="C186" s="20" t="str">
        <f>IF(A186&lt;=input!$F$3, "False", IF(AND(A186&gt;input!$F$3,A186&lt;=(input!$F$3+input!$C$5)), "True", ""))</f>
        <v/>
      </c>
      <c r="D186" s="26" t="str">
        <f>IF(A186="","",IF(C186="False",FV(input!$C$10,A186,-input!$F$16,,input!$C$7),G185))</f>
        <v/>
      </c>
      <c r="E186" s="26" t="str">
        <f>IF(Table1[[#This Row],[Period]]="","",Table1[[#This Row],[Balance]]*profit_rate)</f>
        <v/>
      </c>
      <c r="F186" s="26" t="str">
        <f>IF(A186="","",IF(A186&gt;=input!$F$3, input!$F$12,0))</f>
        <v/>
      </c>
      <c r="G186" s="26" t="str">
        <f>IF(F186="","",D186-F186+Table1[[#This Row],[Interest]])</f>
        <v/>
      </c>
    </row>
    <row r="187" spans="1:7" hidden="1" x14ac:dyDescent="0.25">
      <c r="A187" s="20" t="str">
        <f>IF(A186="","",IF(A186+2&gt;input!$F$3+input!$C$5, "", A186+1))</f>
        <v/>
      </c>
      <c r="B187" s="20" t="str">
        <f t="shared" si="5"/>
        <v/>
      </c>
      <c r="C187" s="20" t="str">
        <f>IF(A187&lt;=input!$F$3, "False", IF(AND(A187&gt;input!$F$3,A187&lt;=(input!$F$3+input!$C$5)), "True", ""))</f>
        <v/>
      </c>
      <c r="D187" s="26" t="str">
        <f>IF(A187="","",IF(C187="False",FV(input!$C$10,A187,-input!$F$16,,input!$C$7),G186))</f>
        <v/>
      </c>
      <c r="E187" s="26" t="str">
        <f>IF(Table1[[#This Row],[Period]]="","",Table1[[#This Row],[Balance]]*profit_rate)</f>
        <v/>
      </c>
      <c r="F187" s="26" t="str">
        <f>IF(A187="","",IF(A187&gt;=input!$F$3, input!$F$12,0))</f>
        <v/>
      </c>
      <c r="G187" s="26" t="str">
        <f>IF(F187="","",D187-F187+Table1[[#This Row],[Interest]])</f>
        <v/>
      </c>
    </row>
    <row r="188" spans="1:7" hidden="1" x14ac:dyDescent="0.25">
      <c r="A188" s="20" t="str">
        <f>IF(A187="","",IF(A187+2&gt;input!$F$3+input!$C$5, "", A187+1))</f>
        <v/>
      </c>
      <c r="B188" s="20" t="str">
        <f t="shared" si="5"/>
        <v/>
      </c>
      <c r="C188" s="20" t="str">
        <f>IF(A188&lt;=input!$F$3, "False", IF(AND(A188&gt;input!$F$3,A188&lt;=(input!$F$3+input!$C$5)), "True", ""))</f>
        <v/>
      </c>
      <c r="D188" s="26" t="str">
        <f>IF(A188="","",IF(C188="False",FV(input!$C$10,A188,-input!$F$16,,input!$C$7),G187))</f>
        <v/>
      </c>
      <c r="E188" s="26" t="str">
        <f>IF(Table1[[#This Row],[Period]]="","",Table1[[#This Row],[Balance]]*profit_rate)</f>
        <v/>
      </c>
      <c r="F188" s="26" t="str">
        <f>IF(A188="","",IF(A188&gt;=input!$F$3, input!$F$12,0))</f>
        <v/>
      </c>
      <c r="G188" s="26" t="str">
        <f>IF(F188="","",D188-F188+Table1[[#This Row],[Interest]])</f>
        <v/>
      </c>
    </row>
    <row r="189" spans="1:7" hidden="1" x14ac:dyDescent="0.25">
      <c r="A189" s="20" t="str">
        <f>IF(A188="","",IF(A188+2&gt;input!$F$3+input!$C$5, "", A188+1))</f>
        <v/>
      </c>
      <c r="B189" s="20" t="str">
        <f t="shared" si="5"/>
        <v/>
      </c>
      <c r="C189" s="20" t="str">
        <f>IF(A189&lt;=input!$F$3, "False", IF(AND(A189&gt;input!$F$3,A189&lt;=(input!$F$3+input!$C$5)), "True", ""))</f>
        <v/>
      </c>
      <c r="D189" s="26" t="str">
        <f>IF(A189="","",IF(C189="False",FV(input!$C$10,A189,-input!$F$16,,input!$C$7),G188))</f>
        <v/>
      </c>
      <c r="E189" s="26" t="str">
        <f>IF(Table1[[#This Row],[Period]]="","",Table1[[#This Row],[Balance]]*profit_rate)</f>
        <v/>
      </c>
      <c r="F189" s="26" t="str">
        <f>IF(A189="","",IF(A189&gt;=input!$F$3, input!$F$12,0))</f>
        <v/>
      </c>
      <c r="G189" s="26" t="str">
        <f>IF(F189="","",D189-F189+Table1[[#This Row],[Interest]])</f>
        <v/>
      </c>
    </row>
    <row r="190" spans="1:7" hidden="1" x14ac:dyDescent="0.25">
      <c r="A190" s="20" t="str">
        <f>IF(A189="","",IF(A189+2&gt;input!$F$3+input!$C$5, "", A189+1))</f>
        <v/>
      </c>
      <c r="B190" s="20" t="str">
        <f t="shared" si="5"/>
        <v/>
      </c>
      <c r="C190" s="20" t="str">
        <f>IF(A190&lt;=input!$F$3, "False", IF(AND(A190&gt;input!$F$3,A190&lt;=(input!$F$3+input!$C$5)), "True", ""))</f>
        <v/>
      </c>
      <c r="D190" s="26" t="str">
        <f>IF(A190="","",IF(C190="False",FV(input!$C$10,A190,-input!$F$16,,input!$C$7),G189))</f>
        <v/>
      </c>
      <c r="E190" s="26" t="str">
        <f>IF(Table1[[#This Row],[Period]]="","",Table1[[#This Row],[Balance]]*profit_rate)</f>
        <v/>
      </c>
      <c r="F190" s="26" t="str">
        <f>IF(A190="","",IF(A190&gt;=input!$F$3, input!$F$12,0))</f>
        <v/>
      </c>
      <c r="G190" s="26" t="str">
        <f>IF(F190="","",D190-F190+Table1[[#This Row],[Interest]])</f>
        <v/>
      </c>
    </row>
    <row r="191" spans="1:7" hidden="1" x14ac:dyDescent="0.25">
      <c r="A191" s="20" t="str">
        <f>IF(A190="","",IF(A190+2&gt;input!$F$3+input!$C$5, "", A190+1))</f>
        <v/>
      </c>
      <c r="B191" s="20" t="str">
        <f t="shared" si="5"/>
        <v/>
      </c>
      <c r="C191" s="20" t="str">
        <f>IF(A191&lt;=input!$F$3, "False", IF(AND(A191&gt;input!$F$3,A191&lt;=(input!$F$3+input!$C$5)), "True", ""))</f>
        <v/>
      </c>
      <c r="D191" s="26" t="str">
        <f>IF(A191="","",IF(C191="False",FV(input!$C$10,A191,-input!$F$16,,input!$C$7),G190))</f>
        <v/>
      </c>
      <c r="E191" s="26" t="str">
        <f>IF(Table1[[#This Row],[Period]]="","",Table1[[#This Row],[Balance]]*profit_rate)</f>
        <v/>
      </c>
      <c r="F191" s="26" t="str">
        <f>IF(A191="","",IF(A191&gt;=input!$F$3, input!$F$12,0))</f>
        <v/>
      </c>
      <c r="G191" s="26" t="str">
        <f>IF(F191="","",D191-F191+Table1[[#This Row],[Interest]])</f>
        <v/>
      </c>
    </row>
    <row r="192" spans="1:7" hidden="1" x14ac:dyDescent="0.25">
      <c r="A192" s="20" t="str">
        <f>IF(A191="","",IF(A191+2&gt;input!$F$3+input!$C$5, "", A191+1))</f>
        <v/>
      </c>
      <c r="B192" s="20" t="str">
        <f t="shared" si="5"/>
        <v/>
      </c>
      <c r="C192" s="20" t="str">
        <f>IF(A192&lt;=input!$F$3, "False", IF(AND(A192&gt;input!$F$3,A192&lt;=(input!$F$3+input!$C$5)), "True", ""))</f>
        <v/>
      </c>
      <c r="D192" s="26" t="str">
        <f>IF(A192="","",IF(C192="False",FV(input!$C$10,A192,-input!$F$16,,input!$C$7),G191))</f>
        <v/>
      </c>
      <c r="E192" s="26" t="str">
        <f>IF(Table1[[#This Row],[Period]]="","",Table1[[#This Row],[Balance]]*profit_rate)</f>
        <v/>
      </c>
      <c r="F192" s="26" t="str">
        <f>IF(A192="","",IF(A192&gt;=input!$F$3, input!$F$12,0))</f>
        <v/>
      </c>
      <c r="G192" s="26" t="str">
        <f>IF(F192="","",D192-F192+Table1[[#This Row],[Interest]])</f>
        <v/>
      </c>
    </row>
    <row r="193" spans="1:7" hidden="1" x14ac:dyDescent="0.25">
      <c r="A193" s="20" t="str">
        <f>IF(A192="","",IF(A192+2&gt;input!$F$3+input!$C$5, "", A192+1))</f>
        <v/>
      </c>
      <c r="B193" s="20" t="str">
        <f t="shared" si="5"/>
        <v/>
      </c>
      <c r="C193" s="20" t="str">
        <f>IF(A193&lt;=input!$F$3, "False", IF(AND(A193&gt;input!$F$3,A193&lt;=(input!$F$3+input!$C$5)), "True", ""))</f>
        <v/>
      </c>
      <c r="D193" s="26" t="str">
        <f>IF(A193="","",IF(C193="False",FV(input!$C$10,A193,-input!$F$16,,input!$C$7),G192))</f>
        <v/>
      </c>
      <c r="E193" s="26" t="str">
        <f>IF(Table1[[#This Row],[Period]]="","",Table1[[#This Row],[Balance]]*profit_rate)</f>
        <v/>
      </c>
      <c r="F193" s="26" t="str">
        <f>IF(A193="","",IF(A193&gt;=input!$F$3, input!$F$12,0))</f>
        <v/>
      </c>
      <c r="G193" s="26" t="str">
        <f>IF(F193="","",D193-F193+Table1[[#This Row],[Interest]])</f>
        <v/>
      </c>
    </row>
    <row r="194" spans="1:7" hidden="1" x14ac:dyDescent="0.25">
      <c r="A194" s="20" t="str">
        <f>IF(A193="","",IF(A193+2&gt;input!$F$3+input!$C$5, "", A193+1))</f>
        <v/>
      </c>
      <c r="B194" s="20" t="str">
        <f t="shared" si="5"/>
        <v/>
      </c>
      <c r="C194" s="20" t="str">
        <f>IF(A194&lt;=input!$F$3, "False", IF(AND(A194&gt;input!$F$3,A194&lt;=(input!$F$3+input!$C$5)), "True", ""))</f>
        <v/>
      </c>
      <c r="D194" s="26" t="str">
        <f>IF(A194="","",IF(C194="False",FV(input!$C$10,A194,-input!$F$16,,input!$C$7),G193))</f>
        <v/>
      </c>
      <c r="E194" s="26" t="str">
        <f>IF(Table1[[#This Row],[Period]]="","",Table1[[#This Row],[Balance]]*profit_rate)</f>
        <v/>
      </c>
      <c r="F194" s="26" t="str">
        <f>IF(A194="","",IF(A194&gt;=input!$F$3, input!$F$12,0))</f>
        <v/>
      </c>
      <c r="G194" s="26" t="str">
        <f>IF(F194="","",D194-F194+Table1[[#This Row],[Interest]])</f>
        <v/>
      </c>
    </row>
    <row r="195" spans="1:7" hidden="1" x14ac:dyDescent="0.25">
      <c r="A195" s="20" t="str">
        <f>IF(A194="","",IF(A194+2&gt;input!$F$3+input!$C$5, "", A194+1))</f>
        <v/>
      </c>
      <c r="B195" s="20" t="str">
        <f t="shared" ref="B195:B202" si="6">IF(A195="","",starting_year+(A195-1))</f>
        <v/>
      </c>
      <c r="C195" s="20" t="str">
        <f>IF(A195&lt;=input!$F$3, "False", IF(AND(A195&gt;input!$F$3,A195&lt;=(input!$F$3+input!$C$5)), "True", ""))</f>
        <v/>
      </c>
      <c r="D195" s="26" t="str">
        <f>IF(A195="","",IF(C195="False",FV(input!$C$10,A195,-input!$F$16,,input!$C$7),G194))</f>
        <v/>
      </c>
      <c r="E195" s="26" t="str">
        <f>IF(Table1[[#This Row],[Period]]="","",Table1[[#This Row],[Balance]]*profit_rate)</f>
        <v/>
      </c>
      <c r="F195" s="26" t="str">
        <f>IF(A195="","",IF(A195&gt;=input!$F$3, input!$F$12,0))</f>
        <v/>
      </c>
      <c r="G195" s="26" t="str">
        <f>IF(F195="","",D195-F195+Table1[[#This Row],[Interest]])</f>
        <v/>
      </c>
    </row>
    <row r="196" spans="1:7" hidden="1" x14ac:dyDescent="0.25">
      <c r="A196" s="20" t="str">
        <f>IF(A195="","",IF(A195+2&gt;input!$F$3+input!$C$5, "", A195+1))</f>
        <v/>
      </c>
      <c r="B196" s="20" t="str">
        <f t="shared" si="6"/>
        <v/>
      </c>
      <c r="C196" s="20" t="str">
        <f>IF(A196&lt;=input!$F$3, "False", IF(AND(A196&gt;input!$F$3,A196&lt;=(input!$F$3+input!$C$5)), "True", ""))</f>
        <v/>
      </c>
      <c r="D196" s="26" t="str">
        <f>IF(A196="","",IF(C196="False",FV(input!$C$10,A196,-input!$F$16,,input!$C$7),G195))</f>
        <v/>
      </c>
      <c r="E196" s="26" t="str">
        <f>IF(Table1[[#This Row],[Period]]="","",Table1[[#This Row],[Balance]]*profit_rate)</f>
        <v/>
      </c>
      <c r="F196" s="26" t="str">
        <f>IF(A196="","",IF(A196&gt;=input!$F$3, input!$F$12,0))</f>
        <v/>
      </c>
      <c r="G196" s="26" t="str">
        <f>IF(F196="","",D196-F196+Table1[[#This Row],[Interest]])</f>
        <v/>
      </c>
    </row>
    <row r="197" spans="1:7" hidden="1" x14ac:dyDescent="0.25">
      <c r="A197" s="20" t="str">
        <f>IF(A196="","",IF(A196+2&gt;input!$F$3+input!$C$5, "", A196+1))</f>
        <v/>
      </c>
      <c r="B197" s="20" t="str">
        <f t="shared" si="6"/>
        <v/>
      </c>
      <c r="C197" s="20" t="str">
        <f>IF(A197&lt;=input!$F$3, "False", IF(AND(A197&gt;input!$F$3,A197&lt;=(input!$F$3+input!$C$5)), "True", ""))</f>
        <v/>
      </c>
      <c r="D197" s="26" t="str">
        <f>IF(A197="","",IF(C197="False",FV(input!$C$10,A197,-input!$F$16,,input!$C$7),G196))</f>
        <v/>
      </c>
      <c r="E197" s="26" t="str">
        <f>IF(Table1[[#This Row],[Period]]="","",Table1[[#This Row],[Balance]]*profit_rate)</f>
        <v/>
      </c>
      <c r="F197" s="26" t="str">
        <f>IF(A197="","",IF(A197&gt;=input!$F$3, input!$F$12,0))</f>
        <v/>
      </c>
      <c r="G197" s="26" t="str">
        <f>IF(F197="","",D197-F197+Table1[[#This Row],[Interest]])</f>
        <v/>
      </c>
    </row>
    <row r="198" spans="1:7" hidden="1" x14ac:dyDescent="0.25">
      <c r="A198" s="20" t="str">
        <f>IF(A197="","",IF(A197+2&gt;input!$F$3+input!$C$5, "", A197+1))</f>
        <v/>
      </c>
      <c r="B198" s="20" t="str">
        <f t="shared" si="6"/>
        <v/>
      </c>
      <c r="C198" s="20" t="str">
        <f>IF(A198&lt;=input!$F$3, "False", IF(AND(A198&gt;input!$F$3,A198&lt;=(input!$F$3+input!$C$5)), "True", ""))</f>
        <v/>
      </c>
      <c r="D198" s="26" t="str">
        <f>IF(A198="","",IF(C198="False",FV(input!$C$10,A198,-input!$F$16,,input!$C$7),G197))</f>
        <v/>
      </c>
      <c r="E198" s="26" t="str">
        <f>IF(Table1[[#This Row],[Period]]="","",Table1[[#This Row],[Balance]]*profit_rate)</f>
        <v/>
      </c>
      <c r="F198" s="26" t="str">
        <f>IF(A198="","",IF(A198&gt;=input!$F$3, input!$F$12,0))</f>
        <v/>
      </c>
      <c r="G198" s="26" t="str">
        <f>IF(F198="","",D198-F198+Table1[[#This Row],[Interest]])</f>
        <v/>
      </c>
    </row>
    <row r="199" spans="1:7" hidden="1" x14ac:dyDescent="0.25">
      <c r="A199" s="20" t="str">
        <f>IF(A198="","",IF(A198+2&gt;input!$F$3+input!$C$5, "", A198+1))</f>
        <v/>
      </c>
      <c r="B199" s="20" t="str">
        <f t="shared" si="6"/>
        <v/>
      </c>
      <c r="C199" s="20" t="str">
        <f>IF(A199&lt;=input!$F$3, "False", IF(AND(A199&gt;input!$F$3,A199&lt;=(input!$F$3+input!$C$5)), "True", ""))</f>
        <v/>
      </c>
      <c r="D199" s="26" t="str">
        <f>IF(A199="","",IF(C199="False",FV(input!$C$10,A199,-input!$F$16,,input!$C$7),G198))</f>
        <v/>
      </c>
      <c r="E199" s="26" t="str">
        <f>IF(Table1[[#This Row],[Period]]="","",Table1[[#This Row],[Balance]]*profit_rate)</f>
        <v/>
      </c>
      <c r="F199" s="26" t="str">
        <f>IF(A199="","",IF(A199&gt;=input!$F$3, input!$F$12,0))</f>
        <v/>
      </c>
      <c r="G199" s="26" t="str">
        <f>IF(F199="","",D199-F199+Table1[[#This Row],[Interest]])</f>
        <v/>
      </c>
    </row>
    <row r="200" spans="1:7" hidden="1" x14ac:dyDescent="0.25">
      <c r="A200" s="20" t="str">
        <f>IF(A199="","",IF(A199+2&gt;input!$F$3+input!$C$5, "", A199+1))</f>
        <v/>
      </c>
      <c r="B200" s="20" t="str">
        <f t="shared" si="6"/>
        <v/>
      </c>
      <c r="C200" s="20" t="str">
        <f>IF(A200&lt;=input!$F$3, "False", IF(AND(A200&gt;input!$F$3,A200&lt;=(input!$F$3+input!$C$5)), "True", ""))</f>
        <v/>
      </c>
      <c r="D200" s="26" t="str">
        <f>IF(A200="","",IF(C200="False",FV(input!$C$10,A200,-input!$F$16,,input!$C$7),G199))</f>
        <v/>
      </c>
      <c r="E200" s="26" t="str">
        <f>IF(Table1[[#This Row],[Period]]="","",Table1[[#This Row],[Balance]]*profit_rate)</f>
        <v/>
      </c>
      <c r="F200" s="26" t="str">
        <f>IF(A200="","",IF(A200&gt;=input!$F$3, input!$F$12,0))</f>
        <v/>
      </c>
      <c r="G200" s="26" t="str">
        <f>IF(F200="","",D200-F200+Table1[[#This Row],[Interest]])</f>
        <v/>
      </c>
    </row>
    <row r="201" spans="1:7" hidden="1" x14ac:dyDescent="0.25">
      <c r="A201" s="20" t="str">
        <f>IF(A200="","",IF(A200+2&gt;input!$F$3+input!$C$5, "", A200+1))</f>
        <v/>
      </c>
      <c r="B201" s="20" t="str">
        <f t="shared" si="6"/>
        <v/>
      </c>
      <c r="C201" s="20" t="str">
        <f>IF(A201&lt;=input!$F$3, "False", IF(AND(A201&gt;input!$F$3,A201&lt;=(input!$F$3+input!$C$5)), "True", ""))</f>
        <v/>
      </c>
      <c r="D201" s="26" t="str">
        <f>IF(A201="","",IF(C201="False",FV(input!$C$10,A201,-input!$F$16,,input!$C$7),G200))</f>
        <v/>
      </c>
      <c r="E201" s="26" t="str">
        <f>IF(Table1[[#This Row],[Period]]="","",Table1[[#This Row],[Balance]]*profit_rate)</f>
        <v/>
      </c>
      <c r="F201" s="26" t="str">
        <f>IF(A201="","",IF(A201&gt;=input!$F$3, input!$F$12,0))</f>
        <v/>
      </c>
      <c r="G201" s="26" t="str">
        <f>IF(F201="","",D201-F201+Table1[[#This Row],[Interest]])</f>
        <v/>
      </c>
    </row>
    <row r="202" spans="1:7" hidden="1" x14ac:dyDescent="0.25">
      <c r="A202" s="20" t="str">
        <f>IF(A201="","",IF(A201+2&gt;input!$F$3+input!$C$5, "", A201+1))</f>
        <v/>
      </c>
      <c r="B202" s="20" t="str">
        <f t="shared" si="6"/>
        <v/>
      </c>
      <c r="C202" s="20" t="str">
        <f>IF(A202&lt;=input!$F$3, "False", IF(AND(A202&gt;input!$F$3,A202&lt;=(input!$F$3+input!$C$5)), "True", ""))</f>
        <v/>
      </c>
      <c r="D202" s="26" t="str">
        <f>IF(A202="","",IF(C202="False",FV(input!$C$10,A202,-input!$F$16,,input!$C$7),G201))</f>
        <v/>
      </c>
      <c r="E202" s="26" t="str">
        <f>IF(Table1[[#This Row],[Period]]="","",Table1[[#This Row],[Balance]]*profit_rate)</f>
        <v/>
      </c>
      <c r="F202" s="26" t="str">
        <f>IF(A202="","",IF(A202&gt;=input!$F$3, input!$F$12,0))</f>
        <v/>
      </c>
      <c r="G202" s="26" t="str">
        <f>IF(F202="","",D202-F202+Table1[[#This Row],[Interest]])</f>
        <v/>
      </c>
    </row>
    <row r="203" spans="1:7" x14ac:dyDescent="0.25">
      <c r="A203" s="21" t="s">
        <v>11</v>
      </c>
      <c r="B203" s="21" t="s">
        <v>11</v>
      </c>
      <c r="C203" s="21" t="s">
        <v>11</v>
      </c>
      <c r="D203" s="21" t="s">
        <v>11</v>
      </c>
      <c r="E203" s="21" t="s">
        <v>11</v>
      </c>
      <c r="F203" s="21" t="s">
        <v>11</v>
      </c>
      <c r="G203" s="22" t="s">
        <v>11</v>
      </c>
    </row>
    <row r="204" spans="1:7" x14ac:dyDescent="0.25">
      <c r="A204" s="21"/>
      <c r="B204" s="21"/>
      <c r="C204" s="21"/>
      <c r="D204" s="21"/>
      <c r="E204" s="21"/>
      <c r="F204" s="21"/>
      <c r="G204" s="22"/>
    </row>
  </sheetData>
  <mergeCells count="2">
    <mergeCell ref="A1:G1"/>
    <mergeCell ref="I1:J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 tint="-0.249977111117893"/>
  </sheetPr>
  <dimension ref="A1"/>
  <sheetViews>
    <sheetView workbookViewId="0">
      <selection activeCell="E21" sqref="E21"/>
    </sheetView>
  </sheetViews>
  <sheetFormatPr defaultRowHeight="15" x14ac:dyDescent="0.25"/>
  <sheetData/>
  <sheetProtection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20</vt:i4>
      </vt:variant>
    </vt:vector>
  </HeadingPairs>
  <TitlesOfParts>
    <vt:vector size="26" baseType="lpstr">
      <vt:lpstr>input</vt:lpstr>
      <vt:lpstr>retirement_incomes_projections</vt:lpstr>
      <vt:lpstr>nominal_balance</vt:lpstr>
      <vt:lpstr>real_balance</vt:lpstr>
      <vt:lpstr>depletion_model</vt:lpstr>
      <vt:lpstr>bank_balance_chart</vt:lpstr>
      <vt:lpstr>actual_income_nominal</vt:lpstr>
      <vt:lpstr>actual_income_real</vt:lpstr>
      <vt:lpstr>current_age</vt:lpstr>
      <vt:lpstr>discount_rate</vt:lpstr>
      <vt:lpstr>eoy</vt:lpstr>
      <vt:lpstr>inflation_rate</vt:lpstr>
      <vt:lpstr>nominal_fv</vt:lpstr>
      <vt:lpstr>nominal_pv</vt:lpstr>
      <vt:lpstr>profit_rate</vt:lpstr>
      <vt:lpstr>real_fv</vt:lpstr>
      <vt:lpstr>real_pv</vt:lpstr>
      <vt:lpstr>required_income_final</vt:lpstr>
      <vt:lpstr>required_income_input</vt:lpstr>
      <vt:lpstr>required_payment</vt:lpstr>
      <vt:lpstr>retirement_age</vt:lpstr>
      <vt:lpstr>starting_year</vt:lpstr>
      <vt:lpstr>total_nominal_fv</vt:lpstr>
      <vt:lpstr>total_nominal_pv</vt:lpstr>
      <vt:lpstr>total_real_fv</vt:lpstr>
      <vt:lpstr>total_real_pv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2017-12-22T12:32:50Z</dcterms:modified>
</cp:coreProperties>
</file>